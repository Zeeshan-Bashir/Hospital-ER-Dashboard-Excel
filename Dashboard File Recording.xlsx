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ml.chartshap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F:\excel\Hospital Emergency Room Dashboard\"/>
    </mc:Choice>
  </mc:AlternateContent>
  <xr:revisionPtr revIDLastSave="0" documentId="13_ncr:1_{6F5444C4-6AC0-42B4-B56B-7F23317766B2}" xr6:coauthVersionLast="47" xr6:coauthVersionMax="47" xr10:uidLastSave="{00000000-0000-0000-0000-000000000000}"/>
  <bookViews>
    <workbookView xWindow="-120" yWindow="-120" windowWidth="20730" windowHeight="11040" activeTab="1" xr2:uid="{7895A160-2AC7-4AB0-84BA-317651D5EB71}"/>
  </bookViews>
  <sheets>
    <sheet name="Pivot Report" sheetId="1" r:id="rId1"/>
    <sheet name="Dashboard" sheetId="2" r:id="rId2"/>
    <sheet name="Average wait time daily trend" sheetId="4" r:id="rId3"/>
    <sheet name="Daily ER No of patient" sheetId="3" r:id="rId4"/>
    <sheet name="satisfiction score daily trend" sheetId="5"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497b3d82-1e86-4619-a807-e441adf5c1ed" name="Hospital Emergency Room Data" connection="Query - Hospital Emergency Room Data"/>
          <x15:modelTable id="Calendar_Table_559d0792-a935-48b3-9fc6-1b3e80ac50c2"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1CEBEA7-3152-4E73-A184-6F0405972998}" name="Query - Calendar_Table" description="Connection to the 'Calendar_Table' query in the workbook." type="100" refreshedVersion="8" minRefreshableVersion="5">
    <extLst>
      <ext xmlns:x15="http://schemas.microsoft.com/office/spreadsheetml/2010/11/main" uri="{DE250136-89BD-433C-8126-D09CA5730AF9}">
        <x15:connection id="b5f62d37-f5fe-404e-9a16-c0cb1bbb177a"/>
      </ext>
    </extLst>
  </connection>
  <connection id="2" xr16:uid="{CF55A664-EA5B-4053-9CAA-FEE24589A038}"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bf8ec448-c839-499f-8440-0b3a66370515"/>
      </ext>
    </extLst>
  </connection>
  <connection id="3" xr16:uid="{C4C46419-37D6-4654-B49E-64095899AA6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<sst xmlns="http://schemas.openxmlformats.org/spreadsheetml/2006/main" count="151" uniqueCount="72">
  <si>
    <t>Distinct Count of Patient Id</t>
  </si>
  <si>
    <t>No. of patient</t>
  </si>
  <si>
    <t>Average of Patient Waittime</t>
  </si>
  <si>
    <t>Average of Patient Satisfaction Score</t>
  </si>
  <si>
    <t>Row Labels</t>
  </si>
  <si>
    <t>Grand Total</t>
  </si>
  <si>
    <t>•Showing a daily trend with an area sparkline to spot patterns like busy days or seasonal trends.</t>
  </si>
  <si>
    <t>daily trends of no of patients</t>
  </si>
  <si>
    <t>average wait time</t>
  </si>
  <si>
    <t>Use the area sparkline to track daily chalanges and higlight daya with longer wait times that might need improvement</t>
  </si>
  <si>
    <t>Count of Patient Admission Flag</t>
  </si>
  <si>
    <t>Admitted</t>
  </si>
  <si>
    <t>Not Admitted</t>
  </si>
  <si>
    <t>Count of Patient Admission Flag2</t>
  </si>
  <si>
    <t>Admision status</t>
  </si>
  <si>
    <t>% Status</t>
  </si>
  <si>
    <t xml:space="preserve">No. of Patient </t>
  </si>
  <si>
    <t>Count of Age Group</t>
  </si>
  <si>
    <t>0-09</t>
  </si>
  <si>
    <t>10-19</t>
  </si>
  <si>
    <t>20-29</t>
  </si>
  <si>
    <t>30-39</t>
  </si>
  <si>
    <t>40-49</t>
  </si>
  <si>
    <t>50-59</t>
  </si>
  <si>
    <t>60-69</t>
  </si>
  <si>
    <t>70-79</t>
  </si>
  <si>
    <t>Delay</t>
  </si>
  <si>
    <t>Ontime</t>
  </si>
  <si>
    <t>Count of Patient attend Status</t>
  </si>
  <si>
    <t xml:space="preserve"> Patient attend status</t>
  </si>
  <si>
    <t>Male</t>
  </si>
  <si>
    <t>None</t>
  </si>
  <si>
    <t>Female</t>
  </si>
  <si>
    <t>General Practice</t>
  </si>
  <si>
    <t>Orthopedics</t>
  </si>
  <si>
    <t>Physiotherapy</t>
  </si>
  <si>
    <t>Cardiology</t>
  </si>
  <si>
    <t>Neurology</t>
  </si>
  <si>
    <t>Gastroenterology</t>
  </si>
  <si>
    <t>Renal</t>
  </si>
  <si>
    <t>Count of Patient Gender</t>
  </si>
  <si>
    <t>Count of Department Referral</t>
  </si>
  <si>
    <t>2024</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</si>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</sst>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8" x14ac:knownFonts="1">
    <font>
      <sz val="11"/>
      <color theme="1"/>
      <name val="Aptos Narrow"/>
      <family val="2"/>
      <scheme val="minor"/>
    </font>
    <font>
      <sz val="11"/>
      <color theme="1" tint="0.34998626667073579"/>
      <name val="Aptos Narrow"/>
      <family val="2"/>
      <scheme val="minor"/>
    </font>
    <font>
      <sz val="12"/>
      <color theme="2"/>
      <name val="Aptos Narrow"/>
      <family val="2"/>
      <scheme val="minor"/>
    </font>
    <font>
      <u/>
      <sz val="11"/>
      <color theme="10"/>
      <name val="Aptos Narrow"/>
      <family val="2"/>
      <scheme val="minor"/>
    </font>
    <font>
      <b/>
      <sz val="11"/>
      <color theme="1"/>
      <name val="Aptos Narrow"/>
      <family val="2"/>
      <scheme val="minor"/>
    </font>
    <font>
      <sz val="9"/>
      <color theme="1"/>
      <name val="Aptos Narrow"/>
      <family val="2"/>
      <scheme val="minor"/>
    </font>
    <font>
      <sz val="8"/>
      <color theme="1"/>
      <name val="Aptos Narrow"/>
      <family val="2"/>
      <scheme val="minor"/>
    </font>
    <font>
      <sz val="8"/>
      <color rgb="FF000000"/>
      <name val="Aptos Narrow"/>
      <family val="2"/>
      <scheme val="minor"/>
    </font>
  </fonts>
  <fills count="8">
    <fill>
      <patternFill patternType="none"/>
    </fill>
    <fill>
      <patternFill patternType="gray125"/>
    </fill>
    <fill>
      <patternFill patternType="solid">
        <fgColor theme="1" tint="0.34998626667073579"/>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2"/>
        <bgColor indexed="64"/>
      </patternFill>
    </fill>
    <fill>
      <patternFill patternType="solid">
        <fgColor theme="4" tint="0.79998168889431442"/>
        <bgColor theme="4" tint="0.79998168889431442"/>
      </patternFill>
    </fill>
    <fill>
      <patternFill patternType="solid">
        <fgColor theme="0"/>
        <bgColor indexed="64"/>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0" fontId="3" fillId="0" borderId="0" applyNumberFormat="0" applyFill="0" applyBorder="0" applyAlignment="0" applyProtection="0"/>
  </cellStyleXfs>
  <cellXfs count="24">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0" fontId="0" fillId="3" borderId="0" xfId="0" applyFill="1" applyAlignment="1">
      <alignment horizontal="left" vertical="center" indent="5"/>
    </xf>
    <xf numFmtId="0" fontId="1" fillId="2" borderId="0" xfId="0" applyFont="1" applyFill="1"/>
    <xf numFmtId="0" fontId="2" fillId="2" borderId="0" xfId="0" applyFont="1" applyFill="1"/>
    <xf numFmtId="0" fontId="3" fillId="2" borderId="0" xfId="1" quotePrefix="1" applyFill="1"/>
    <xf numFmtId="1" fontId="0" fillId="0" borderId="0" xfId="0" applyNumberFormat="1"/>
    <xf numFmtId="10" fontId="0" fillId="0" borderId="0" xfId="0" applyNumberFormat="1"/>
    <xf numFmtId="0" fontId="0" fillId="5" borderId="0" xfId="0" applyFill="1"/>
    <xf numFmtId="0" fontId="0" fillId="4" borderId="0" xfId="0" applyFill="1" applyAlignment="1">
      <alignment horizontal="center"/>
    </xf>
    <xf numFmtId="0" fontId="0" fillId="5" borderId="0" xfId="0" applyFill="1" applyAlignment="1">
      <alignment horizontal="center"/>
    </xf>
    <xf numFmtId="0" fontId="4" fillId="6" borderId="1" xfId="0" applyFont="1" applyFill="1" applyBorder="1"/>
    <xf numFmtId="0" fontId="5" fillId="5" borderId="0" xfId="0" applyFont="1" applyFill="1" applyAlignment="1">
      <alignment horizontal="center"/>
    </xf>
    <xf numFmtId="1" fontId="5" fillId="5" borderId="0" xfId="0" applyNumberFormat="1" applyFont="1" applyFill="1" applyAlignment="1">
      <alignment horizontal="center"/>
    </xf>
    <xf numFmtId="164" fontId="5" fillId="5" borderId="0" xfId="0" applyNumberFormat="1" applyFont="1" applyFill="1" applyAlignment="1">
      <alignment horizontal="center"/>
    </xf>
    <xf numFmtId="0" fontId="0" fillId="7" borderId="0" xfId="0" applyFill="1" applyAlignment="1">
      <alignment horizontal="center"/>
    </xf>
    <xf numFmtId="0" fontId="4" fillId="6" borderId="2" xfId="0" applyFont="1" applyFill="1" applyBorder="1" applyAlignment="1">
      <alignment horizontal="left"/>
    </xf>
    <xf numFmtId="1" fontId="4" fillId="6" borderId="2" xfId="0" applyNumberFormat="1" applyFont="1" applyFill="1" applyBorder="1"/>
    <xf numFmtId="0" fontId="7" fillId="0" borderId="0" xfId="0" applyFont="1" applyAlignment="1">
      <alignment horizontal="center" vertical="center"/>
    </xf>
    <xf numFmtId="0" fontId="6" fillId="0" borderId="0" xfId="0" applyFont="1"/>
  </cellXfs>
  <cellStyles count="2">
    <cellStyle name="Hyperlink" xfId="1" builtinId="8"/>
    <cellStyle name="Normal" xfId="0" builtinId="0"/>
  </cellStyles>
  <dxfs count="22">
    <dxf>
      <numFmt numFmtId="1" formatCode="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1" formatCode="0"/>
    </dxf>
    <dxf>
      <numFmt numFmtId="1" formatCode="0"/>
    </dxf>
    <dxf>
      <numFmt numFmtId="1" formatCode="0"/>
    </dxf>
    <dxf>
      <numFmt numFmtId="2" formatCode="0.00"/>
    </dxf>
    <dxf>
      <numFmt numFmtId="2" formatCode="0.00"/>
    </dxf>
    <dxf>
      <font>
        <b/>
        <color theme="1"/>
      </font>
      <border>
        <bottom style="thin">
          <color theme="5"/>
        </bottom>
        <vertical/>
        <horizontal/>
      </border>
    </dxf>
    <dxf>
      <font>
        <sz val="7"/>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My Style" pivot="0" table="0" count="10" xr9:uid="{9C43FA0D-6204-45A1-95E1-29E71A3D0A17}">
      <tableStyleElement type="wholeTable" dxfId="21"/>
      <tableStyleElement type="headerRow" dxfId="2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ustomXml" Target="../customXml/item1.xml"/><Relationship Id="rId39" Type="http://schemas.openxmlformats.org/officeDocument/2006/relationships/customXml" Target="../customXml/item14.xml"/><Relationship Id="rId3" Type="http://schemas.openxmlformats.org/officeDocument/2006/relationships/worksheet" Target="worksheets/sheet3.xml"/><Relationship Id="rId21" Type="http://schemas.openxmlformats.org/officeDocument/2006/relationships/theme" Target="theme/theme1.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Recording.xlsx]Pivot Report!PivotTable4</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6.7332999106074709E-2"/>
              <c:y val="1.9191159025413396E-2"/>
            </c:manualLayout>
          </c:layout>
          <c:tx>
            <c:rich>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fld id="{BDC528EA-7C64-40FF-9D78-54D918147A5C}" type="CELLRANGE">
                  <a:rPr lang="en-US" sz="500"/>
                  <a:pPr>
                    <a:defRPr sz="5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4457477539132441"/>
                  <c:h val="0.43239383622194305"/>
                </c:manualLayout>
              </c15:layout>
              <c15:dlblFieldTable/>
              <c15:showDataLabelsRange val="1"/>
            </c:ext>
          </c:extLst>
        </c:dLbl>
      </c:pivotFmt>
      <c:pivotFmt>
        <c:idx val="7"/>
        <c:spPr>
          <a:solidFill>
            <a:schemeClr val="accent1"/>
          </a:solidFill>
          <a:ln>
            <a:noFill/>
          </a:ln>
          <a:effectLst/>
        </c:spPr>
        <c:dLbl>
          <c:idx val="0"/>
          <c:layout>
            <c:manualLayout>
              <c:x val="-4.0425317449580757E-2"/>
              <c:y val="7.5558718947255484E-7"/>
            </c:manualLayout>
          </c:layout>
          <c:tx>
            <c:rich>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fld id="{F4911FA2-6DF7-4FFC-A9FB-E626E1FF4EE6}" type="CELLRANGE">
                  <a:rPr lang="en-US" sz="500"/>
                  <a:pPr>
                    <a:defRPr sz="5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1088678980023287"/>
                  <c:h val="0.43239383622194305"/>
                </c:manualLayout>
              </c15:layout>
              <c15:dlblFieldTable/>
              <c15:showDataLabelsRange val="1"/>
            </c:ext>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9"/>
        <c:spPr>
          <a:solidFill>
            <a:schemeClr val="accent1"/>
          </a:solidFill>
          <a:ln>
            <a:noFill/>
          </a:ln>
          <a:effectLst/>
        </c:spPr>
        <c:dLbl>
          <c:idx val="0"/>
          <c:layout>
            <c:manualLayout>
              <c:x val="-4.0425317449580757E-2"/>
              <c:y val="7.5558718947255484E-7"/>
            </c:manualLayout>
          </c:layout>
          <c:tx>
            <c:rich>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fld id="{2F22030F-54C9-4247-8FC4-B5260F7EC675}" type="CELLRANGE">
                  <a:rPr lang="en-US"/>
                  <a:pPr>
                    <a:defRPr sz="5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1088678980023287"/>
                  <c:h val="0.43239383622194305"/>
                </c:manualLayout>
              </c15:layout>
              <c15:dlblFieldTable/>
              <c15:showDataLabelsRange val="1"/>
            </c:ext>
          </c:extLst>
        </c:dLbl>
      </c:pivotFmt>
      <c:pivotFmt>
        <c:idx val="10"/>
        <c:spPr>
          <a:solidFill>
            <a:schemeClr val="accent1"/>
          </a:solidFill>
          <a:ln>
            <a:noFill/>
          </a:ln>
          <a:effectLst/>
        </c:spPr>
        <c:dLbl>
          <c:idx val="0"/>
          <c:layout>
            <c:manualLayout>
              <c:x val="-6.7332999106074709E-2"/>
              <c:y val="1.9191159025413396E-2"/>
            </c:manualLayout>
          </c:layout>
          <c:tx>
            <c:rich>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fld id="{19644536-F535-4D8A-B9FC-A885A96B23DD}" type="CELLRANGE">
                  <a:rPr lang="en-US"/>
                  <a:pPr>
                    <a:defRPr sz="5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4457477539132441"/>
                  <c:h val="0.43239383622194305"/>
                </c:manualLayout>
              </c15:layout>
              <c15:dlblFieldTable/>
              <c15:showDataLabelsRange val="1"/>
            </c:ext>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3"/>
        <c:spPr>
          <a:solidFill>
            <a:schemeClr val="accent1"/>
          </a:solidFill>
          <a:ln>
            <a:noFill/>
          </a:ln>
          <a:effectLst/>
        </c:spPr>
        <c:dLbl>
          <c:idx val="0"/>
          <c:layout>
            <c:manualLayout>
              <c:x val="-4.0425317449580757E-2"/>
              <c:y val="7.5558718947255484E-7"/>
            </c:manualLayout>
          </c:layout>
          <c:tx>
            <c:rich>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fld id="{D77DCC13-AE98-4A1F-8CED-5E89C492A406}" type="CELLRANGE">
                  <a:rPr lang="en-US"/>
                  <a:pPr>
                    <a:defRPr sz="5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1088678980023287"/>
                  <c:h val="0.43239383622194305"/>
                </c:manualLayout>
              </c15:layout>
              <c15:dlblFieldTable/>
              <c15:showDataLabelsRange val="1"/>
            </c:ext>
          </c:extLst>
        </c:dLbl>
      </c:pivotFmt>
      <c:pivotFmt>
        <c:idx val="14"/>
        <c:spPr>
          <a:solidFill>
            <a:schemeClr val="accent1"/>
          </a:solidFill>
          <a:ln>
            <a:noFill/>
          </a:ln>
          <a:effectLst/>
        </c:spPr>
        <c:dLbl>
          <c:idx val="0"/>
          <c:layout>
            <c:manualLayout>
              <c:x val="-6.7332999106074709E-2"/>
              <c:y val="1.9191159025413396E-2"/>
            </c:manualLayout>
          </c:layout>
          <c:tx>
            <c:rich>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fld id="{59364D55-DA9B-4511-BC7A-70E5F97A64A4}" type="CELLRANGE">
                  <a:rPr lang="en-US"/>
                  <a:pPr>
                    <a:defRPr sz="5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4457477539132441"/>
                  <c:h val="0.43239383622194305"/>
                </c:manualLayout>
              </c15:layout>
              <c15:dlblFieldTable/>
              <c15:showDataLabelsRange val="1"/>
            </c:ext>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7"/>
        <c:spPr>
          <a:solidFill>
            <a:schemeClr val="accent1"/>
          </a:solidFill>
          <a:ln>
            <a:noFill/>
          </a:ln>
          <a:effectLst/>
        </c:spPr>
        <c:dLbl>
          <c:idx val="0"/>
          <c:layout>
            <c:manualLayout>
              <c:x val="-4.0425317449580757E-2"/>
              <c:y val="7.5558718947255484E-7"/>
            </c:manualLayout>
          </c:layout>
          <c:tx>
            <c:rich>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fld id="{7E12B269-C2BA-45C9-A0A7-412AD7DAA003}" type="CELLRANGE">
                  <a:rPr lang="en-US"/>
                  <a:pPr>
                    <a:defRPr sz="5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1088678980023287"/>
                  <c:h val="0.43239383622194305"/>
                </c:manualLayout>
              </c15:layout>
              <c15:dlblFieldTable/>
              <c15:showDataLabelsRange val="1"/>
            </c:ext>
          </c:extLst>
        </c:dLbl>
      </c:pivotFmt>
      <c:pivotFmt>
        <c:idx val="18"/>
        <c:spPr>
          <a:solidFill>
            <a:schemeClr val="accent1"/>
          </a:solidFill>
          <a:ln>
            <a:noFill/>
          </a:ln>
          <a:effectLst/>
        </c:spPr>
        <c:dLbl>
          <c:idx val="0"/>
          <c:layout>
            <c:manualLayout>
              <c:x val="-6.7332999106074709E-2"/>
              <c:y val="1.9191159025413396E-2"/>
            </c:manualLayout>
          </c:layout>
          <c:tx>
            <c:rich>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fld id="{959F012E-6089-4D8F-99D1-6C4CC51E0BA8}" type="CELLRANGE">
                  <a:rPr lang="en-US"/>
                  <a:pPr>
                    <a:defRPr sz="5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4457477539132441"/>
                  <c:h val="0.43239383622194305"/>
                </c:manualLayout>
              </c15:layout>
              <c15:dlblFieldTable/>
              <c15:showDataLabelsRange val="1"/>
            </c:ext>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1"/>
        <c:spPr>
          <a:solidFill>
            <a:schemeClr val="accent1"/>
          </a:solidFill>
          <a:ln>
            <a:noFill/>
          </a:ln>
          <a:effectLst/>
        </c:spPr>
        <c:dLbl>
          <c:idx val="0"/>
          <c:layout>
            <c:manualLayout>
              <c:x val="-4.0425317449580757E-2"/>
              <c:y val="7.5558718947255484E-7"/>
            </c:manualLayout>
          </c:layout>
          <c:tx>
            <c:rich>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4C58BC29-4DBF-48E7-8083-CAB5197DD2DE}" type="CELLRANGE">
                  <a:rPr lang="en-US"/>
                  <a:pPr>
                    <a:defRPr sz="600"/>
                  </a:pPr>
                  <a:t>[CELLRANGE]</a:t>
                </a:fld>
                <a:endParaRPr lang="en-US"/>
              </a:p>
            </c:rich>
          </c:tx>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1088678980023287"/>
                  <c:h val="0.43239383622194305"/>
                </c:manualLayout>
              </c15:layout>
              <c15:dlblFieldTable/>
              <c15:showDataLabelsRange val="1"/>
            </c:ext>
          </c:extLst>
        </c:dLbl>
      </c:pivotFmt>
      <c:pivotFmt>
        <c:idx val="22"/>
        <c:spPr>
          <a:solidFill>
            <a:schemeClr val="accent1"/>
          </a:solidFill>
          <a:ln>
            <a:noFill/>
          </a:ln>
          <a:effectLst/>
        </c:spPr>
        <c:dLbl>
          <c:idx val="0"/>
          <c:layout>
            <c:manualLayout>
              <c:x val="-7.580671849814459E-2"/>
              <c:y val="-1.2953421086142989E-3"/>
            </c:manualLayout>
          </c:layout>
          <c:tx>
            <c:rich>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602C5D69-3378-4ACC-BE30-6CE66B2620C3}" type="CELLRANGE">
                  <a:rPr lang="en-US"/>
                  <a:pPr>
                    <a:defRPr sz="600"/>
                  </a:pPr>
                  <a:t>[CELLRANGE]</a:t>
                </a:fld>
                <a:endParaRPr lang="en-US"/>
              </a:p>
            </c:rich>
          </c:tx>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4457477539132441"/>
                  <c:h val="0.43239383622194305"/>
                </c:manualLayout>
              </c15:layout>
              <c15:dlblFieldTable/>
              <c15:showDataLabelsRange val="1"/>
            </c:ext>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8.8814460728267083E-2"/>
          <c:w val="0.58108262912645181"/>
          <c:h val="0.40437677750103046"/>
        </c:manualLayout>
      </c:layout>
      <c:barChart>
        <c:barDir val="bar"/>
        <c:grouping val="clustered"/>
        <c:varyColors val="0"/>
        <c:ser>
          <c:idx val="0"/>
          <c:order val="0"/>
          <c:tx>
            <c:strRef>
              <c:f>'Pivot Report'!$C$17:$C$18</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399E-47AF-82FD-F99472C0C9C6}"/>
              </c:ext>
            </c:extLst>
          </c:dPt>
          <c:dPt>
            <c:idx val="1"/>
            <c:invertIfNegative val="0"/>
            <c:bubble3D val="0"/>
            <c:extLst>
              <c:ext xmlns:c16="http://schemas.microsoft.com/office/drawing/2014/chart" uri="{C3380CC4-5D6E-409C-BE32-E72D297353CC}">
                <c16:uniqueId val="{00000001-399E-47AF-82FD-F99472C0C9C6}"/>
              </c:ext>
            </c:extLst>
          </c:dPt>
          <c:dLbls>
            <c:dLbl>
              <c:idx val="0"/>
              <c:layout>
                <c:manualLayout>
                  <c:x val="-4.0425317449580757E-2"/>
                  <c:y val="7.5558718947255484E-7"/>
                </c:manualLayout>
              </c:layout>
              <c:tx>
                <c:rich>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4C58BC29-4DBF-48E7-8083-CAB5197DD2DE}" type="CELLRANGE">
                      <a:rPr lang="en-US"/>
                      <a:pPr>
                        <a:defRPr sz="600"/>
                      </a:pPr>
                      <a:t>[CELLRANGE]</a:t>
                    </a:fld>
                    <a:endParaRPr lang="en-US"/>
                  </a:p>
                </c:rich>
              </c:tx>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1088678980023287"/>
                      <c:h val="0.43239383622194305"/>
                    </c:manualLayout>
                  </c15:layout>
                  <c15:dlblFieldTable/>
                  <c15:showDataLabelsRange val="1"/>
                </c:ext>
                <c:ext xmlns:c16="http://schemas.microsoft.com/office/drawing/2014/chart" uri="{C3380CC4-5D6E-409C-BE32-E72D297353CC}">
                  <c16:uniqueId val="{00000000-399E-47AF-82FD-F99472C0C9C6}"/>
                </c:ext>
              </c:extLst>
            </c:dLbl>
            <c:dLbl>
              <c:idx val="1"/>
              <c:layout>
                <c:manualLayout>
                  <c:x val="-7.580671849814459E-2"/>
                  <c:y val="-1.2953421086142989E-3"/>
                </c:manualLayout>
              </c:layout>
              <c:tx>
                <c:rich>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602C5D69-3378-4ACC-BE30-6CE66B2620C3}" type="CELLRANGE">
                      <a:rPr lang="en-US"/>
                      <a:pPr>
                        <a:defRPr sz="600"/>
                      </a:pPr>
                      <a:t>[CELLRANGE]</a:t>
                    </a:fld>
                    <a:endParaRPr lang="en-US"/>
                  </a:p>
                </c:rich>
              </c:tx>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4457477539132441"/>
                      <c:h val="0.43239383622194305"/>
                    </c:manualLayout>
                  </c15:layout>
                  <c15:dlblFieldTable/>
                  <c15:showDataLabelsRange val="1"/>
                </c:ext>
                <c:ext xmlns:c16="http://schemas.microsoft.com/office/drawing/2014/chart" uri="{C3380CC4-5D6E-409C-BE32-E72D297353CC}">
                  <c16:uniqueId val="{00000001-399E-47AF-82FD-F99472C0C9C6}"/>
                </c:ext>
              </c:extLst>
            </c:dLbl>
            <c:spPr>
              <a:noFill/>
              <a:ln>
                <a:noFill/>
              </a:ln>
              <a:effectLst/>
            </c:spPr>
            <c:txPr>
              <a:bodyPr rot="0" spcFirstLastPara="1" vertOverflow="ellipsis" vert="horz" wrap="none" lIns="38100" tIns="19050" rIns="38100" bIns="19050" anchor="ctr" anchorCtr="1">
                <a:spAutoFit/>
              </a:bodyPr>
              <a:lstStyle/>
              <a:p>
                <a:pPr>
                  <a:defRPr sz="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 Report'!$C$17:$C$18</c:f>
              <c:strCache>
                <c:ptCount val="2"/>
                <c:pt idx="0">
                  <c:v>Admitted</c:v>
                </c:pt>
                <c:pt idx="1">
                  <c:v>Not Admitted</c:v>
                </c:pt>
              </c:strCache>
            </c:strRef>
          </c:cat>
          <c:val>
            <c:numRef>
              <c:f>'Pivot Report'!$C$17:$C$18</c:f>
              <c:numCache>
                <c:formatCode>0</c:formatCode>
                <c:ptCount val="2"/>
                <c:pt idx="0">
                  <c:v>224</c:v>
                </c:pt>
                <c:pt idx="1">
                  <c:v>207</c:v>
                </c:pt>
              </c:numCache>
            </c:numRef>
          </c:val>
          <c:extLst>
            <c:ext xmlns:c15="http://schemas.microsoft.com/office/drawing/2012/chart" uri="{02D57815-91ED-43cb-92C2-25804820EDAC}">
              <c15:datalabelsRange>
                <c15:f>'Pivot Report'!$C$17:$C$18</c15:f>
                <c15:dlblRangeCache>
                  <c:ptCount val="2"/>
                  <c:pt idx="0">
                    <c:v>51.97%</c:v>
                  </c:pt>
                  <c:pt idx="1">
                    <c:v>48.03%</c:v>
                  </c:pt>
                </c15:dlblRangeCache>
              </c15:datalabelsRange>
            </c:ext>
            <c:ext xmlns:c16="http://schemas.microsoft.com/office/drawing/2014/chart" uri="{C3380CC4-5D6E-409C-BE32-E72D297353CC}">
              <c16:uniqueId val="{00000002-399E-47AF-82FD-F99472C0C9C6}"/>
            </c:ext>
          </c:extLst>
        </c:ser>
        <c:ser>
          <c:idx val="1"/>
          <c:order val="1"/>
          <c:tx>
            <c:strRef>
              <c:f>'Pivot Report'!$C$17:$C$18</c:f>
              <c:strCache>
                <c:ptCount val="1"/>
                <c:pt idx="0">
                  <c:v>Count of Patient Admission Flag2</c:v>
                </c:pt>
              </c:strCache>
            </c:strRef>
          </c:tx>
          <c:spPr>
            <a:solidFill>
              <a:schemeClr val="accent2"/>
            </a:solidFill>
            <a:ln>
              <a:noFill/>
            </a:ln>
            <a:effectLst/>
          </c:spPr>
          <c:invertIfNegative val="0"/>
          <c:cat>
            <c:strRef>
              <c:f>'Pivot Report'!$C$17:$C$18</c:f>
              <c:strCache>
                <c:ptCount val="2"/>
                <c:pt idx="0">
                  <c:v>Admitted</c:v>
                </c:pt>
                <c:pt idx="1">
                  <c:v>Not Admitted</c:v>
                </c:pt>
              </c:strCache>
            </c:strRef>
          </c:cat>
          <c:val>
            <c:numRef>
              <c:f>'Pivot Report'!$C$17:$C$18</c:f>
              <c:numCache>
                <c:formatCode>0.00%</c:formatCode>
                <c:ptCount val="2"/>
                <c:pt idx="0">
                  <c:v>0.51972157772621808</c:v>
                </c:pt>
                <c:pt idx="1">
                  <c:v>0.48027842227378192</c:v>
                </c:pt>
              </c:numCache>
            </c:numRef>
          </c:val>
          <c:extLst>
            <c:ext xmlns:c16="http://schemas.microsoft.com/office/drawing/2014/chart" uri="{C3380CC4-5D6E-409C-BE32-E72D297353CC}">
              <c16:uniqueId val="{00000003-399E-47AF-82FD-F99472C0C9C6}"/>
            </c:ext>
          </c:extLst>
        </c:ser>
        <c:dLbls>
          <c:showLegendKey val="0"/>
          <c:showVal val="0"/>
          <c:showCatName val="0"/>
          <c:showSerName val="0"/>
          <c:showPercent val="0"/>
          <c:showBubbleSize val="0"/>
        </c:dLbls>
        <c:gapWidth val="0"/>
        <c:overlap val="-100"/>
        <c:axId val="526325176"/>
        <c:axId val="526324096"/>
      </c:barChart>
      <c:catAx>
        <c:axId val="526325176"/>
        <c:scaling>
          <c:orientation val="minMax"/>
        </c:scaling>
        <c:delete val="1"/>
        <c:axPos val="l"/>
        <c:numFmt formatCode="General" sourceLinked="1"/>
        <c:majorTickMark val="none"/>
        <c:minorTickMark val="none"/>
        <c:tickLblPos val="nextTo"/>
        <c:crossAx val="526324096"/>
        <c:crosses val="autoZero"/>
        <c:auto val="1"/>
        <c:lblAlgn val="ctr"/>
        <c:lblOffset val="100"/>
        <c:noMultiLvlLbl val="0"/>
      </c:catAx>
      <c:valAx>
        <c:axId val="526324096"/>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526325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Recording.xlsx]Pivot Report!PivotTable7</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949913530027874E-2"/>
          <c:y val="0.19382656746351756"/>
          <c:w val="0.97514814724600973"/>
          <c:h val="0.79303380714290739"/>
        </c:manualLayout>
      </c:layout>
      <c:areaChart>
        <c:grouping val="standard"/>
        <c:varyColors val="0"/>
        <c:ser>
          <c:idx val="0"/>
          <c:order val="0"/>
          <c:tx>
            <c:strRef>
              <c:f>'Pivot Report'!$E$4</c:f>
              <c:strCache>
                <c:ptCount val="1"/>
                <c:pt idx="0">
                  <c:v>Total</c:v>
                </c:pt>
              </c:strCache>
            </c:strRef>
          </c:tx>
          <c:spPr>
            <a:solidFill>
              <a:schemeClr val="accent1"/>
            </a:solidFill>
            <a:ln>
              <a:noFill/>
            </a:ln>
            <a:effectLst/>
          </c:spPr>
          <c:cat>
            <c:strRef>
              <c:f>'Pivot Report'!$D$5:$D$34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Report'!$E$5:$E$34</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0-F1C0-4484-A54E-B01B067F32B2}"/>
            </c:ext>
          </c:extLst>
        </c:ser>
        <c:dLbls>
          <c:showLegendKey val="0"/>
          <c:showVal val="0"/>
          <c:showCatName val="0"/>
          <c:showSerName val="0"/>
          <c:showPercent val="0"/>
          <c:showBubbleSize val="0"/>
        </c:dLbls>
        <c:axId val="1149437952"/>
        <c:axId val="1149438432"/>
      </c:areaChart>
      <c:catAx>
        <c:axId val="1149437952"/>
        <c:scaling>
          <c:orientation val="minMax"/>
        </c:scaling>
        <c:delete val="1"/>
        <c:axPos val="b"/>
        <c:numFmt formatCode="General" sourceLinked="1"/>
        <c:majorTickMark val="out"/>
        <c:minorTickMark val="none"/>
        <c:tickLblPos val="nextTo"/>
        <c:crossAx val="1149438432"/>
        <c:crosses val="autoZero"/>
        <c:auto val="1"/>
        <c:lblAlgn val="ctr"/>
        <c:lblOffset val="100"/>
        <c:noMultiLvlLbl val="0"/>
      </c:catAx>
      <c:valAx>
        <c:axId val="1149438432"/>
        <c:scaling>
          <c:orientation val="minMax"/>
        </c:scaling>
        <c:delete val="1"/>
        <c:axPos val="l"/>
        <c:numFmt formatCode="General" sourceLinked="1"/>
        <c:majorTickMark val="none"/>
        <c:minorTickMark val="none"/>
        <c:tickLblPos val="nextTo"/>
        <c:crossAx val="11494379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Recording.xlsx]Pivot Report!PivotTable2</c:name>
    <c:fmtId val="2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2.1958667528287797E-2"/>
          <c:w val="0.98765433298888583"/>
          <c:h val="0.97804133247171221"/>
        </c:manualLayout>
      </c:layout>
      <c:areaChart>
        <c:grouping val="standard"/>
        <c:varyColors val="0"/>
        <c:ser>
          <c:idx val="0"/>
          <c:order val="0"/>
          <c:tx>
            <c:strRef>
              <c:f>'Pivot Report'!$J$4</c:f>
              <c:strCache>
                <c:ptCount val="1"/>
                <c:pt idx="0">
                  <c:v>Total</c:v>
                </c:pt>
              </c:strCache>
            </c:strRef>
          </c:tx>
          <c:spPr>
            <a:solidFill>
              <a:schemeClr val="accent1"/>
            </a:solidFill>
            <a:ln>
              <a:noFill/>
            </a:ln>
            <a:effectLst/>
          </c:spPr>
          <c:cat>
            <c:strRef>
              <c:f>'Pivot Report'!$I$5:$I$34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Report'!$J$5:$J$34</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0-A940-43FA-9EAA-44F210556151}"/>
            </c:ext>
          </c:extLst>
        </c:ser>
        <c:dLbls>
          <c:showLegendKey val="0"/>
          <c:showVal val="0"/>
          <c:showCatName val="0"/>
          <c:showSerName val="0"/>
          <c:showPercent val="0"/>
          <c:showBubbleSize val="0"/>
        </c:dLbls>
        <c:axId val="536526672"/>
        <c:axId val="536531352"/>
      </c:areaChart>
      <c:catAx>
        <c:axId val="536526672"/>
        <c:scaling>
          <c:orientation val="minMax"/>
        </c:scaling>
        <c:delete val="1"/>
        <c:axPos val="b"/>
        <c:numFmt formatCode="General" sourceLinked="1"/>
        <c:majorTickMark val="out"/>
        <c:minorTickMark val="none"/>
        <c:tickLblPos val="nextTo"/>
        <c:crossAx val="536531352"/>
        <c:crosses val="autoZero"/>
        <c:auto val="1"/>
        <c:lblAlgn val="ctr"/>
        <c:lblOffset val="100"/>
        <c:noMultiLvlLbl val="0"/>
      </c:catAx>
      <c:valAx>
        <c:axId val="536531352"/>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5365266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Recording.xlsx]Pivot Report!PivotTable3</c:name>
    <c:fmtId val="2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216008243594683E-2"/>
          <c:y val="3.127038224459612E-2"/>
          <c:w val="0.9897839917564053"/>
          <c:h val="0.96872961775540389"/>
        </c:manualLayout>
      </c:layout>
      <c:areaChart>
        <c:grouping val="standard"/>
        <c:varyColors val="0"/>
        <c:ser>
          <c:idx val="0"/>
          <c:order val="0"/>
          <c:tx>
            <c:strRef>
              <c:f>'Pivot Report'!$N$3</c:f>
              <c:strCache>
                <c:ptCount val="1"/>
                <c:pt idx="0">
                  <c:v>Total</c:v>
                </c:pt>
              </c:strCache>
            </c:strRef>
          </c:tx>
          <c:spPr>
            <a:solidFill>
              <a:schemeClr val="accent1"/>
            </a:solidFill>
            <a:ln>
              <a:noFill/>
            </a:ln>
            <a:effectLst/>
          </c:spPr>
          <c:cat>
            <c:strRef>
              <c:f>'Pivot Report'!$M$4:$M$32</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'Pivot Report'!$N$4:$N$32</c:f>
              <c:numCache>
                <c:formatCode>0.00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0-8CA4-4FD4-9F49-C8FD50E63B51}"/>
            </c:ext>
          </c:extLst>
        </c:ser>
        <c:dLbls>
          <c:showLegendKey val="0"/>
          <c:showVal val="0"/>
          <c:showCatName val="0"/>
          <c:showSerName val="0"/>
          <c:showPercent val="0"/>
          <c:showBubbleSize val="0"/>
        </c:dLbls>
        <c:axId val="398552112"/>
        <c:axId val="398549592"/>
      </c:areaChart>
      <c:catAx>
        <c:axId val="398552112"/>
        <c:scaling>
          <c:orientation val="minMax"/>
        </c:scaling>
        <c:delete val="1"/>
        <c:axPos val="b"/>
        <c:numFmt formatCode="General" sourceLinked="1"/>
        <c:majorTickMark val="out"/>
        <c:minorTickMark val="none"/>
        <c:tickLblPos val="nextTo"/>
        <c:crossAx val="398549592"/>
        <c:crosses val="autoZero"/>
        <c:auto val="1"/>
        <c:lblAlgn val="ctr"/>
        <c:lblOffset val="100"/>
        <c:noMultiLvlLbl val="0"/>
      </c:catAx>
      <c:valAx>
        <c:axId val="398549592"/>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3985521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Recording.xlsx]Pivot Report!PivotTable8</c:name>
    <c:fmtId val="6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8537094306445916"/>
          <c:h val="0.7313278855150771"/>
        </c:manualLayout>
      </c:layout>
      <c:barChart>
        <c:barDir val="col"/>
        <c:grouping val="clustered"/>
        <c:varyColors val="0"/>
        <c:ser>
          <c:idx val="0"/>
          <c:order val="0"/>
          <c:tx>
            <c:strRef>
              <c:f>'Pivot Report'!$B$31</c:f>
              <c:strCache>
                <c:ptCount val="1"/>
                <c:pt idx="0">
                  <c:v>Total</c:v>
                </c:pt>
              </c:strCache>
            </c:strRef>
          </c:tx>
          <c:spPr>
            <a:solidFill>
              <a:schemeClr val="accent1"/>
            </a:solidFill>
            <a:ln>
              <a:noFill/>
            </a:ln>
            <a:effectLst/>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Report'!$A$32:$A$40</c:f>
              <c:strCache>
                <c:ptCount val="8"/>
                <c:pt idx="0">
                  <c:v>0-09</c:v>
                </c:pt>
                <c:pt idx="1">
                  <c:v>10-19</c:v>
                </c:pt>
                <c:pt idx="2">
                  <c:v>20-29</c:v>
                </c:pt>
                <c:pt idx="3">
                  <c:v>30-39</c:v>
                </c:pt>
                <c:pt idx="4">
                  <c:v>40-49</c:v>
                </c:pt>
                <c:pt idx="5">
                  <c:v>50-59</c:v>
                </c:pt>
                <c:pt idx="6">
                  <c:v>60-69</c:v>
                </c:pt>
                <c:pt idx="7">
                  <c:v>70-79</c:v>
                </c:pt>
              </c:strCache>
            </c:strRef>
          </c:cat>
          <c:val>
            <c:numRef>
              <c:f>'Pivot Report'!$B$32:$B$40</c:f>
              <c:numCache>
                <c:formatCode>0.00</c:formatCode>
                <c:ptCount val="8"/>
                <c:pt idx="0">
                  <c:v>42</c:v>
                </c:pt>
                <c:pt idx="1">
                  <c:v>46</c:v>
                </c:pt>
                <c:pt idx="2">
                  <c:v>54</c:v>
                </c:pt>
                <c:pt idx="3">
                  <c:v>68</c:v>
                </c:pt>
                <c:pt idx="4">
                  <c:v>62</c:v>
                </c:pt>
                <c:pt idx="5">
                  <c:v>52</c:v>
                </c:pt>
                <c:pt idx="6">
                  <c:v>54</c:v>
                </c:pt>
                <c:pt idx="7">
                  <c:v>53</c:v>
                </c:pt>
              </c:numCache>
            </c:numRef>
          </c:val>
          <c:extLst>
            <c:ext xmlns:c16="http://schemas.microsoft.com/office/drawing/2014/chart" uri="{C3380CC4-5D6E-409C-BE32-E72D297353CC}">
              <c16:uniqueId val="{00000000-C74A-4C29-B113-C8763FF3E047}"/>
            </c:ext>
          </c:extLst>
        </c:ser>
        <c:dLbls>
          <c:showLegendKey val="0"/>
          <c:showVal val="0"/>
          <c:showCatName val="0"/>
          <c:showSerName val="0"/>
          <c:showPercent val="0"/>
          <c:showBubbleSize val="0"/>
        </c:dLbls>
        <c:gapWidth val="219"/>
        <c:overlap val="-27"/>
        <c:axId val="525509096"/>
        <c:axId val="525503696"/>
      </c:barChart>
      <c:catAx>
        <c:axId val="525509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525503696"/>
        <c:crosses val="autoZero"/>
        <c:auto val="1"/>
        <c:lblAlgn val="ctr"/>
        <c:lblOffset val="100"/>
        <c:noMultiLvlLbl val="0"/>
      </c:catAx>
      <c:valAx>
        <c:axId val="525503696"/>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525509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Recording.xlsx]Pivot Report!PivotTable9</c:name>
    <c:fmtId val="7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7251703355992992"/>
          <c:y val="0.24267237359977178"/>
          <c:w val="0.65559730925445969"/>
          <c:h val="0.6860898946688383"/>
        </c:manualLayout>
      </c:layout>
      <c:pieChart>
        <c:varyColors val="1"/>
        <c:ser>
          <c:idx val="0"/>
          <c:order val="0"/>
          <c:tx>
            <c:strRef>
              <c:f>'Pivot Report'!$B$52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3CF-43C0-8C7C-C5A93323F08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3CF-43C0-8C7C-C5A93323F08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Report'!$A$53:$A$55</c:f>
              <c:strCache>
                <c:ptCount val="2"/>
                <c:pt idx="0">
                  <c:v>Delay</c:v>
                </c:pt>
                <c:pt idx="1">
                  <c:v>Ontime</c:v>
                </c:pt>
              </c:strCache>
            </c:strRef>
          </c:cat>
          <c:val>
            <c:numRef>
              <c:f>'Pivot Report'!$B$53:$B$55</c:f>
              <c:numCache>
                <c:formatCode>0</c:formatCode>
                <c:ptCount val="2"/>
                <c:pt idx="0">
                  <c:v>283</c:v>
                </c:pt>
                <c:pt idx="1">
                  <c:v>148</c:v>
                </c:pt>
              </c:numCache>
            </c:numRef>
          </c:val>
          <c:extLst>
            <c:ext xmlns:c16="http://schemas.microsoft.com/office/drawing/2014/chart" uri="{C3380CC4-5D6E-409C-BE32-E72D297353CC}">
              <c16:uniqueId val="{00000004-03CF-43C0-8C7C-C5A93323F08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8.9965586547964358E-3"/>
          <c:y val="4.2214500937435369E-4"/>
          <c:w val="0.93972144183177686"/>
          <c:h val="0.19438666773769581"/>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Recording.xlsx]Pivot Report!PivotTable10</c:name>
    <c:fmtId val="7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c:spPr>
      </c:pivotFmt>
    </c:pivotFmts>
    <c:plotArea>
      <c:layout>
        <c:manualLayout>
          <c:layoutTarget val="inner"/>
          <c:xMode val="edge"/>
          <c:yMode val="edge"/>
          <c:x val="0.13422290963629546"/>
          <c:y val="0.174476427370134"/>
          <c:w val="0.75863423322084744"/>
          <c:h val="0.81699236218930382"/>
        </c:manualLayout>
      </c:layout>
      <c:doughnutChart>
        <c:varyColors val="1"/>
        <c:ser>
          <c:idx val="0"/>
          <c:order val="0"/>
          <c:tx>
            <c:strRef>
              <c:f>'Pivot Report'!$E$52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42D-456E-AE5F-CF0E99AAA29A}"/>
              </c:ext>
            </c:extLst>
          </c:dPt>
          <c:dPt>
            <c:idx val="1"/>
            <c:bubble3D val="0"/>
            <c:spPr>
              <a:solidFill>
                <a:schemeClr val="accent2"/>
              </a:solidFill>
              <a:ln>
                <a:noFill/>
              </a:ln>
              <a:effectLst/>
            </c:spPr>
            <c:extLst>
              <c:ext xmlns:c16="http://schemas.microsoft.com/office/drawing/2014/chart" uri="{C3380CC4-5D6E-409C-BE32-E72D297353CC}">
                <c16:uniqueId val="{00000003-D42D-456E-AE5F-CF0E99AAA29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Report'!$D$53:$D$55</c:f>
              <c:strCache>
                <c:ptCount val="2"/>
                <c:pt idx="0">
                  <c:v>Female</c:v>
                </c:pt>
                <c:pt idx="1">
                  <c:v>Male</c:v>
                </c:pt>
              </c:strCache>
            </c:strRef>
          </c:cat>
          <c:val>
            <c:numRef>
              <c:f>'Pivot Report'!$E$53:$E$55</c:f>
              <c:numCache>
                <c:formatCode>0.00</c:formatCode>
                <c:ptCount val="2"/>
                <c:pt idx="0">
                  <c:v>194</c:v>
                </c:pt>
                <c:pt idx="1">
                  <c:v>237</c:v>
                </c:pt>
              </c:numCache>
            </c:numRef>
          </c:val>
          <c:extLst>
            <c:ext xmlns:c16="http://schemas.microsoft.com/office/drawing/2014/chart" uri="{C3380CC4-5D6E-409C-BE32-E72D297353CC}">
              <c16:uniqueId val="{00000004-D42D-456E-AE5F-CF0E99AAA29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2.5599925009373819E-3"/>
          <c:y val="3.177878412837498E-3"/>
          <c:w val="0.98959598800149984"/>
          <c:h val="0.1562409776720728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Recording.xlsx]Pivot Report!PivotTable11</c:name>
    <c:fmtId val="8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924339551209241"/>
          <c:y val="9.1769274832227105E-2"/>
          <c:w val="0.66998615576132081"/>
          <c:h val="0.76155228680887288"/>
        </c:manualLayout>
      </c:layout>
      <c:barChart>
        <c:barDir val="bar"/>
        <c:grouping val="clustered"/>
        <c:varyColors val="0"/>
        <c:ser>
          <c:idx val="0"/>
          <c:order val="0"/>
          <c:tx>
            <c:strRef>
              <c:f>'Pivot Report'!$B$58</c:f>
              <c:strCache>
                <c:ptCount val="1"/>
                <c:pt idx="0">
                  <c:v>Total</c:v>
                </c:pt>
              </c:strCache>
            </c:strRef>
          </c:tx>
          <c:spPr>
            <a:solidFill>
              <a:schemeClr val="accent1"/>
            </a:solidFill>
            <a:ln>
              <a:noFill/>
            </a:ln>
            <a:effectLst/>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Report'!$A$59:$A$67</c:f>
              <c:strCache>
                <c:ptCount val="8"/>
                <c:pt idx="0">
                  <c:v>Neurology</c:v>
                </c:pt>
                <c:pt idx="1">
                  <c:v>Gastroenterology</c:v>
                </c:pt>
                <c:pt idx="2">
                  <c:v>Renal</c:v>
                </c:pt>
                <c:pt idx="3">
                  <c:v>Cardiology</c:v>
                </c:pt>
                <c:pt idx="4">
                  <c:v>Physiotherapy</c:v>
                </c:pt>
                <c:pt idx="5">
                  <c:v>Orthopedics</c:v>
                </c:pt>
                <c:pt idx="6">
                  <c:v>General Practice</c:v>
                </c:pt>
                <c:pt idx="7">
                  <c:v>None</c:v>
                </c:pt>
              </c:strCache>
            </c:strRef>
          </c:cat>
          <c:val>
            <c:numRef>
              <c:f>'Pivot Report'!$B$59:$B$67</c:f>
              <c:numCache>
                <c:formatCode>0.00</c:formatCode>
                <c:ptCount val="8"/>
                <c:pt idx="0">
                  <c:v>6</c:v>
                </c:pt>
                <c:pt idx="1">
                  <c:v>6</c:v>
                </c:pt>
                <c:pt idx="2">
                  <c:v>6</c:v>
                </c:pt>
                <c:pt idx="3">
                  <c:v>12</c:v>
                </c:pt>
                <c:pt idx="4">
                  <c:v>14</c:v>
                </c:pt>
                <c:pt idx="5">
                  <c:v>46</c:v>
                </c:pt>
                <c:pt idx="6">
                  <c:v>89</c:v>
                </c:pt>
                <c:pt idx="7">
                  <c:v>252</c:v>
                </c:pt>
              </c:numCache>
            </c:numRef>
          </c:val>
          <c:extLst>
            <c:ext xmlns:c16="http://schemas.microsoft.com/office/drawing/2014/chart" uri="{C3380CC4-5D6E-409C-BE32-E72D297353CC}">
              <c16:uniqueId val="{00000000-C442-48BF-9D64-AE452EEA1021}"/>
            </c:ext>
          </c:extLst>
        </c:ser>
        <c:dLbls>
          <c:showLegendKey val="0"/>
          <c:showVal val="0"/>
          <c:showCatName val="0"/>
          <c:showSerName val="0"/>
          <c:showPercent val="0"/>
          <c:showBubbleSize val="0"/>
        </c:dLbls>
        <c:gapWidth val="30"/>
        <c:axId val="525493976"/>
        <c:axId val="525501536"/>
      </c:barChart>
      <c:catAx>
        <c:axId val="525493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525501536"/>
        <c:crosses val="autoZero"/>
        <c:auto val="1"/>
        <c:lblAlgn val="ctr"/>
        <c:lblOffset val="100"/>
        <c:noMultiLvlLbl val="0"/>
      </c:catAx>
      <c:valAx>
        <c:axId val="52550153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525493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Recording.xlsx]Pivot Report!PivotTable3</c:name>
    <c:fmtId val="23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Report'!$N$3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Report'!$M$4:$M$32</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'Pivot Report'!$N$4:$N$32</c:f>
              <c:numCache>
                <c:formatCode>0.00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0-12CB-4746-ABD2-3C6C1CEFBB2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398552112"/>
        <c:axId val="398549592"/>
      </c:areaChart>
      <c:catAx>
        <c:axId val="39855211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98549592"/>
        <c:crosses val="autoZero"/>
        <c:auto val="1"/>
        <c:lblAlgn val="ctr"/>
        <c:lblOffset val="100"/>
        <c:noMultiLvlLbl val="0"/>
      </c:catAx>
      <c:valAx>
        <c:axId val="398549592"/>
        <c:scaling>
          <c:orientation val="minMax"/>
        </c:scaling>
        <c:delete val="1"/>
        <c:axPos val="l"/>
        <c:numFmt formatCode="0.00" sourceLinked="1"/>
        <c:majorTickMark val="out"/>
        <c:minorTickMark val="none"/>
        <c:tickLblPos val="nextTo"/>
        <c:crossAx val="3985521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Recording.xlsx]Pivot Report!PivotTable7</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586305653486267E-2"/>
          <c:y val="4.3138838414428964E-3"/>
          <c:w val="0.9443865627310577"/>
          <c:h val="0.74571595217264497"/>
        </c:manualLayout>
      </c:layout>
      <c:areaChart>
        <c:grouping val="standard"/>
        <c:varyColors val="0"/>
        <c:ser>
          <c:idx val="0"/>
          <c:order val="0"/>
          <c:tx>
            <c:strRef>
              <c:f>'Pivot 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Report'!$D$5:$D$34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Report'!$E$5:$E$34</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0-947D-42C8-8DB2-C14400852B4A}"/>
            </c:ext>
          </c:extLst>
        </c:ser>
        <c:dLbls>
          <c:showLegendKey val="0"/>
          <c:showVal val="1"/>
          <c:showCatName val="0"/>
          <c:showSerName val="0"/>
          <c:showPercent val="0"/>
          <c:showBubbleSize val="0"/>
        </c:dLbls>
        <c:axId val="1149437952"/>
        <c:axId val="1149438432"/>
      </c:areaChart>
      <c:catAx>
        <c:axId val="114943795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49438432"/>
        <c:crosses val="autoZero"/>
        <c:auto val="1"/>
        <c:lblAlgn val="ctr"/>
        <c:lblOffset val="100"/>
        <c:noMultiLvlLbl val="0"/>
      </c:catAx>
      <c:valAx>
        <c:axId val="1149438432"/>
        <c:scaling>
          <c:orientation val="minMax"/>
        </c:scaling>
        <c:delete val="1"/>
        <c:axPos val="l"/>
        <c:numFmt formatCode="General" sourceLinked="1"/>
        <c:majorTickMark val="out"/>
        <c:minorTickMark val="none"/>
        <c:tickLblPos val="nextTo"/>
        <c:crossAx val="1149437952"/>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Recording.xlsx]Pivot Report!PivotTable2</c:name>
    <c:fmtId val="23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382121107561044E-2"/>
          <c:y val="0.14141357038879543"/>
          <c:w val="0.98765433298888583"/>
          <c:h val="0.83501687875689201"/>
        </c:manualLayout>
      </c:layout>
      <c:areaChart>
        <c:grouping val="standard"/>
        <c:varyColors val="0"/>
        <c:ser>
          <c:idx val="0"/>
          <c:order val="0"/>
          <c:tx>
            <c:strRef>
              <c:f>'Pivot Report'!$J$4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Report'!$I$5:$I$34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Report'!$J$5:$J$34</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0-DDB4-46B0-AA72-BCCB38A1C26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36526672"/>
        <c:axId val="536531352"/>
      </c:areaChart>
      <c:catAx>
        <c:axId val="53652667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36531352"/>
        <c:crosses val="autoZero"/>
        <c:auto val="1"/>
        <c:lblAlgn val="ctr"/>
        <c:lblOffset val="100"/>
        <c:noMultiLvlLbl val="0"/>
      </c:catAx>
      <c:valAx>
        <c:axId val="536531352"/>
        <c:scaling>
          <c:orientation val="minMax"/>
        </c:scaling>
        <c:delete val="1"/>
        <c:axPos val="l"/>
        <c:numFmt formatCode="0.00" sourceLinked="1"/>
        <c:majorTickMark val="out"/>
        <c:minorTickMark val="none"/>
        <c:tickLblPos val="nextTo"/>
        <c:crossAx val="5365266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hyperlink" Target="#'satisfiction score daily trend'!A1"/><Relationship Id="rId18" Type="http://schemas.openxmlformats.org/officeDocument/2006/relationships/chart" Target="../charts/chart7.xml"/><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chart" Target="../charts/chart3.xml"/><Relationship Id="rId17" Type="http://schemas.openxmlformats.org/officeDocument/2006/relationships/chart" Target="../charts/chart6.xml"/><Relationship Id="rId2" Type="http://schemas.openxmlformats.org/officeDocument/2006/relationships/image" Target="../media/image1.png"/><Relationship Id="rId16" Type="http://schemas.openxmlformats.org/officeDocument/2006/relationships/chart" Target="../charts/chart5.xml"/><Relationship Id="rId1" Type="http://schemas.openxmlformats.org/officeDocument/2006/relationships/hyperlink" Target="#Dashboard!A1"/><Relationship Id="rId6" Type="http://schemas.openxmlformats.org/officeDocument/2006/relationships/image" Target="../media/image5.svg"/><Relationship Id="rId11" Type="http://schemas.openxmlformats.org/officeDocument/2006/relationships/hyperlink" Target="#'Average wait time daily trend'!A1"/><Relationship Id="rId5" Type="http://schemas.openxmlformats.org/officeDocument/2006/relationships/image" Target="../media/image4.png"/><Relationship Id="rId15" Type="http://schemas.openxmlformats.org/officeDocument/2006/relationships/image" Target="../media/image8.emf"/><Relationship Id="rId10" Type="http://schemas.openxmlformats.org/officeDocument/2006/relationships/chart" Target="../charts/chart2.xml"/><Relationship Id="rId19" Type="http://schemas.openxmlformats.org/officeDocument/2006/relationships/chart" Target="../charts/chart8.xml"/><Relationship Id="rId4" Type="http://schemas.openxmlformats.org/officeDocument/2006/relationships/image" Target="../media/image3.svg"/><Relationship Id="rId9" Type="http://schemas.openxmlformats.org/officeDocument/2006/relationships/hyperlink" Target="#'Daily ER No of patient'!A1"/><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11.png"/><Relationship Id="rId1" Type="http://schemas.openxmlformats.org/officeDocument/2006/relationships/hyperlink" Target="#Dashboard!A1"/></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2</xdr:col>
      <xdr:colOff>807924</xdr:colOff>
      <xdr:row>42</xdr:row>
      <xdr:rowOff>136071</xdr:rowOff>
    </xdr:from>
    <xdr:to>
      <xdr:col>5</xdr:col>
      <xdr:colOff>116826</xdr:colOff>
      <xdr:row>46</xdr:row>
      <xdr:rowOff>100978</xdr:rowOff>
    </xdr:to>
    <xdr:graphicFrame macro="">
      <xdr:nvGraphicFramePr>
        <xdr:cNvPr id="7" name="Chart 6">
          <a:extLst>
            <a:ext uri="{FF2B5EF4-FFF2-40B4-BE49-F238E27FC236}">
              <a16:creationId xmlns:a16="http://schemas.microsoft.com/office/drawing/2014/main" id="{D49FDE57-EC8C-469C-8290-FA2FEB3B82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837689</xdr:colOff>
      <xdr:row>108</xdr:row>
      <xdr:rowOff>191350</xdr:rowOff>
    </xdr:from>
    <xdr:to>
      <xdr:col>3</xdr:col>
      <xdr:colOff>415048</xdr:colOff>
      <xdr:row>109</xdr:row>
      <xdr:rowOff>141514</xdr:rowOff>
    </xdr:to>
    <xdr:sp macro="" textlink="">
      <xdr:nvSpPr>
        <xdr:cNvPr id="2" name="Text Box 4">
          <a:extLst>
            <a:ext uri="{FF2B5EF4-FFF2-40B4-BE49-F238E27FC236}">
              <a16:creationId xmlns:a16="http://schemas.microsoft.com/office/drawing/2014/main" id="{5F5A8E14-4035-4E39-B204-62F9840648AC}"/>
            </a:ext>
          </a:extLst>
        </xdr:cNvPr>
        <xdr:cNvSpPr txBox="1">
          <a:spLocks noChangeArrowheads="1"/>
        </xdr:cNvSpPr>
      </xdr:nvSpPr>
      <xdr:spPr bwMode="auto">
        <a:xfrm>
          <a:off x="1836964" y="20831685"/>
          <a:ext cx="1235729" cy="141514"/>
        </a:xfrm>
        <a:prstGeom prst="rect">
          <a:avLst/>
        </a:prstGeom>
        <a:solidFill>
          <a:srgbClr val="FFFFFF"/>
        </a:solidFill>
        <a:ln w="9525">
          <a:solidFill>
            <a:srgbClr val="000000"/>
          </a:solidFill>
          <a:miter lim="800000"/>
          <a:headEnd/>
          <a:tailEnd/>
        </a:ln>
      </xdr:spPr>
      <xdr:txBody>
        <a:bodyPr vertOverflow="clip" wrap="square" lIns="45720" tIns="41148" rIns="0" bIns="0" anchor="t" upright="1"/>
        <a:lstStyle/>
        <a:p>
          <a:pPr marL="0" marR="0" lvl="0" indent="0" algn="l" defTabSz="914400" rtl="0" eaLnBrk="1" fontAlgn="auto" latinLnBrk="0" hangingPunct="1">
            <a:lnSpc>
              <a:spcPct val="100000"/>
            </a:lnSpc>
            <a:spcBef>
              <a:spcPts val="0"/>
            </a:spcBef>
            <a:spcAft>
              <a:spcPts val="0"/>
            </a:spcAft>
            <a:buClrTx/>
            <a:buSzTx/>
            <a:buFontTx/>
            <a:buNone/>
            <a:tabLst/>
            <a:defRPr sz="1000"/>
          </a:pPr>
          <a:endParaRPr lang="en-US" sz="800" b="0" i="0" u="none" strike="noStrike" baseline="0">
            <a:solidFill>
              <a:srgbClr val="000000"/>
            </a:solidFill>
            <a:latin typeface="Aptos Narrow"/>
          </a:endParaRPr>
        </a:p>
      </xdr:txBody>
    </xdr:sp>
    <xdr:clientData/>
  </xdr:twoCellAnchor>
  <xdr:twoCellAnchor>
    <xdr:from>
      <xdr:col>1</xdr:col>
      <xdr:colOff>0</xdr:colOff>
      <xdr:row>113</xdr:row>
      <xdr:rowOff>0</xdr:rowOff>
    </xdr:from>
    <xdr:to>
      <xdr:col>2</xdr:col>
      <xdr:colOff>398040</xdr:colOff>
      <xdr:row>113</xdr:row>
      <xdr:rowOff>45719</xdr:rowOff>
    </xdr:to>
    <xdr:sp macro="" textlink="">
      <xdr:nvSpPr>
        <xdr:cNvPr id="3" name="Text Box 8">
          <a:extLst>
            <a:ext uri="{FF2B5EF4-FFF2-40B4-BE49-F238E27FC236}">
              <a16:creationId xmlns:a16="http://schemas.microsoft.com/office/drawing/2014/main" id="{A35E12AA-76A2-438F-8598-16F99E5F82BC}"/>
            </a:ext>
          </a:extLst>
        </xdr:cNvPr>
        <xdr:cNvSpPr txBox="1">
          <a:spLocks noChangeArrowheads="1"/>
        </xdr:cNvSpPr>
      </xdr:nvSpPr>
      <xdr:spPr bwMode="auto">
        <a:xfrm flipV="1">
          <a:off x="999275" y="21597087"/>
          <a:ext cx="1235729" cy="45719"/>
        </a:xfrm>
        <a:prstGeom prst="rect">
          <a:avLst/>
        </a:prstGeom>
        <a:solidFill>
          <a:srgbClr val="FFFFFF"/>
        </a:solidFill>
        <a:ln w="9525">
          <a:solidFill>
            <a:srgbClr val="000000"/>
          </a:solidFill>
          <a:miter lim="800000"/>
          <a:headEnd/>
          <a:tailEnd/>
        </a:ln>
      </xdr:spPr>
      <xdr:txBody>
        <a:bodyPr vertOverflow="clip" wrap="square" lIns="45720" tIns="41148" rIns="0" bIns="0" anchor="t" upright="1"/>
        <a:lstStyle/>
        <a:p>
          <a:pPr algn="l" rtl="0">
            <a:defRPr sz="1000"/>
          </a:pPr>
          <a:endParaRPr lang="en-US" sz="1100" b="0" i="0" u="none" strike="noStrike" baseline="0">
            <a:solidFill>
              <a:srgbClr val="000000"/>
            </a:solidFill>
            <a:latin typeface="Aptos Narrow"/>
          </a:endParaRPr>
        </a:p>
      </xdr:txBody>
    </xdr:sp>
    <xdr:clientData/>
  </xdr:twoCellAnchor>
  <xdr:twoCellAnchor>
    <xdr:from>
      <xdr:col>4</xdr:col>
      <xdr:colOff>0</xdr:colOff>
      <xdr:row>112</xdr:row>
      <xdr:rowOff>0</xdr:rowOff>
    </xdr:from>
    <xdr:to>
      <xdr:col>6</xdr:col>
      <xdr:colOff>19590</xdr:colOff>
      <xdr:row>112</xdr:row>
      <xdr:rowOff>126066</xdr:rowOff>
    </xdr:to>
    <xdr:sp macro="" textlink="">
      <xdr:nvSpPr>
        <xdr:cNvPr id="4" name="Text Box 6">
          <a:extLst>
            <a:ext uri="{FF2B5EF4-FFF2-40B4-BE49-F238E27FC236}">
              <a16:creationId xmlns:a16="http://schemas.microsoft.com/office/drawing/2014/main" id="{D3C688C7-4626-48B4-92CC-FF54C546A70F}"/>
            </a:ext>
          </a:extLst>
        </xdr:cNvPr>
        <xdr:cNvSpPr txBox="1">
          <a:spLocks noChangeArrowheads="1"/>
        </xdr:cNvSpPr>
      </xdr:nvSpPr>
      <xdr:spPr bwMode="auto">
        <a:xfrm>
          <a:off x="3648415" y="21405737"/>
          <a:ext cx="1235729" cy="126066"/>
        </a:xfrm>
        <a:prstGeom prst="rect">
          <a:avLst/>
        </a:prstGeom>
        <a:solidFill>
          <a:srgbClr val="FFFFFF"/>
        </a:solidFill>
        <a:ln w="9525">
          <a:solidFill>
            <a:srgbClr val="000000"/>
          </a:solidFill>
          <a:miter lim="800000"/>
          <a:headEnd/>
          <a:tailEnd/>
        </a:ln>
      </xdr:spPr>
      <xdr:txBody>
        <a:bodyPr vertOverflow="clip" wrap="square" lIns="45720" tIns="41148" rIns="0" bIns="0" anchor="t" upright="1"/>
        <a:lstStyle/>
        <a:p>
          <a:pPr algn="l" rtl="0">
            <a:defRPr sz="1000"/>
          </a:pPr>
          <a:endParaRPr lang="en-US" sz="1100" b="0" i="0" u="none" strike="noStrike" baseline="0">
            <a:solidFill>
              <a:srgbClr val="000000"/>
            </a:solidFill>
            <a:latin typeface="Aptos Narrow"/>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56606</xdr:colOff>
      <xdr:row>0</xdr:row>
      <xdr:rowOff>60960</xdr:rowOff>
    </xdr:from>
    <xdr:to>
      <xdr:col>5</xdr:col>
      <xdr:colOff>217714</xdr:colOff>
      <xdr:row>3</xdr:row>
      <xdr:rowOff>4354</xdr:rowOff>
    </xdr:to>
    <xdr:sp macro="" textlink="">
      <xdr:nvSpPr>
        <xdr:cNvPr id="2" name="Rectangle: Rounded Corners 1">
          <a:extLst>
            <a:ext uri="{FF2B5EF4-FFF2-40B4-BE49-F238E27FC236}">
              <a16:creationId xmlns:a16="http://schemas.microsoft.com/office/drawing/2014/main" id="{E67A7A7E-1CCC-4211-E1B9-F62077BF130B}"/>
            </a:ext>
          </a:extLst>
        </xdr:cNvPr>
        <xdr:cNvSpPr/>
      </xdr:nvSpPr>
      <xdr:spPr>
        <a:xfrm>
          <a:off x="56606" y="60960"/>
          <a:ext cx="3209108" cy="492034"/>
        </a:xfrm>
        <a:prstGeom prst="roundRect">
          <a:avLst>
            <a:gd name="adj" fmla="val 1224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5</xdr:col>
      <xdr:colOff>274321</xdr:colOff>
      <xdr:row>0</xdr:row>
      <xdr:rowOff>60960</xdr:rowOff>
    </xdr:from>
    <xdr:to>
      <xdr:col>7</xdr:col>
      <xdr:colOff>34834</xdr:colOff>
      <xdr:row>3</xdr:row>
      <xdr:rowOff>4354</xdr:rowOff>
    </xdr:to>
    <xdr:sp macro="" textlink="">
      <xdr:nvSpPr>
        <xdr:cNvPr id="4" name="Rectangle: Rounded Corners 3">
          <a:extLst>
            <a:ext uri="{FF2B5EF4-FFF2-40B4-BE49-F238E27FC236}">
              <a16:creationId xmlns:a16="http://schemas.microsoft.com/office/drawing/2014/main" id="{A69C2A7F-B9B3-B131-3E77-EAEB1AC48090}"/>
            </a:ext>
          </a:extLst>
        </xdr:cNvPr>
        <xdr:cNvSpPr/>
      </xdr:nvSpPr>
      <xdr:spPr>
        <a:xfrm>
          <a:off x="3322321" y="60960"/>
          <a:ext cx="979713" cy="492034"/>
        </a:xfrm>
        <a:prstGeom prst="roundRect">
          <a:avLst>
            <a:gd name="adj" fmla="val 1224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7</xdr:col>
      <xdr:colOff>91441</xdr:colOff>
      <xdr:row>0</xdr:row>
      <xdr:rowOff>60959</xdr:rowOff>
    </xdr:from>
    <xdr:to>
      <xdr:col>9</xdr:col>
      <xdr:colOff>143691</xdr:colOff>
      <xdr:row>6</xdr:row>
      <xdr:rowOff>143690</xdr:rowOff>
    </xdr:to>
    <xdr:sp macro="" textlink="">
      <xdr:nvSpPr>
        <xdr:cNvPr id="5" name="Rectangle: Rounded Corners 4">
          <a:extLst>
            <a:ext uri="{FF2B5EF4-FFF2-40B4-BE49-F238E27FC236}">
              <a16:creationId xmlns:a16="http://schemas.microsoft.com/office/drawing/2014/main" id="{D77F685F-214C-89F4-ABE3-E91F4E8AC7D7}"/>
            </a:ext>
          </a:extLst>
        </xdr:cNvPr>
        <xdr:cNvSpPr/>
      </xdr:nvSpPr>
      <xdr:spPr>
        <a:xfrm>
          <a:off x="4325984" y="60959"/>
          <a:ext cx="1271450" cy="1225731"/>
        </a:xfrm>
        <a:prstGeom prst="roundRect">
          <a:avLst>
            <a:gd name="adj" fmla="val 596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9</xdr:col>
      <xdr:colOff>204653</xdr:colOff>
      <xdr:row>0</xdr:row>
      <xdr:rowOff>60959</xdr:rowOff>
    </xdr:from>
    <xdr:to>
      <xdr:col>11</xdr:col>
      <xdr:colOff>256903</xdr:colOff>
      <xdr:row>6</xdr:row>
      <xdr:rowOff>143690</xdr:rowOff>
    </xdr:to>
    <xdr:sp macro="" textlink="">
      <xdr:nvSpPr>
        <xdr:cNvPr id="6" name="Rectangle: Rounded Corners 5">
          <a:extLst>
            <a:ext uri="{FF2B5EF4-FFF2-40B4-BE49-F238E27FC236}">
              <a16:creationId xmlns:a16="http://schemas.microsoft.com/office/drawing/2014/main" id="{DFA7170B-8A69-022F-0917-011419E5CFB6}"/>
            </a:ext>
          </a:extLst>
        </xdr:cNvPr>
        <xdr:cNvSpPr/>
      </xdr:nvSpPr>
      <xdr:spPr>
        <a:xfrm>
          <a:off x="5691053" y="60959"/>
          <a:ext cx="1271450" cy="1180011"/>
        </a:xfrm>
        <a:prstGeom prst="roundRect">
          <a:avLst>
            <a:gd name="adj" fmla="val 596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0</xdr:col>
      <xdr:colOff>56607</xdr:colOff>
      <xdr:row>3</xdr:row>
      <xdr:rowOff>60958</xdr:rowOff>
    </xdr:from>
    <xdr:to>
      <xdr:col>1</xdr:col>
      <xdr:colOff>126275</xdr:colOff>
      <xdr:row>15</xdr:row>
      <xdr:rowOff>95793</xdr:rowOff>
    </xdr:to>
    <xdr:sp macro="" textlink="">
      <xdr:nvSpPr>
        <xdr:cNvPr id="7" name="Rectangle: Rounded Corners 6">
          <a:extLst>
            <a:ext uri="{FF2B5EF4-FFF2-40B4-BE49-F238E27FC236}">
              <a16:creationId xmlns:a16="http://schemas.microsoft.com/office/drawing/2014/main" id="{BB7BA2C5-2B8B-D97C-C1A7-855AC3583642}"/>
            </a:ext>
          </a:extLst>
        </xdr:cNvPr>
        <xdr:cNvSpPr/>
      </xdr:nvSpPr>
      <xdr:spPr>
        <a:xfrm>
          <a:off x="56607" y="609598"/>
          <a:ext cx="679268" cy="2229395"/>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1</xdr:col>
      <xdr:colOff>182881</xdr:colOff>
      <xdr:row>3</xdr:row>
      <xdr:rowOff>60958</xdr:rowOff>
    </xdr:from>
    <xdr:to>
      <xdr:col>3</xdr:col>
      <xdr:colOff>87602</xdr:colOff>
      <xdr:row>7</xdr:row>
      <xdr:rowOff>60959</xdr:rowOff>
    </xdr:to>
    <xdr:sp macro="" textlink="">
      <xdr:nvSpPr>
        <xdr:cNvPr id="8" name="Rectangle: Rounded Corners 7">
          <a:extLst>
            <a:ext uri="{FF2B5EF4-FFF2-40B4-BE49-F238E27FC236}">
              <a16:creationId xmlns:a16="http://schemas.microsoft.com/office/drawing/2014/main" id="{D5563D2A-6447-F3BE-5486-3D19C4B1EEC7}"/>
            </a:ext>
          </a:extLst>
        </xdr:cNvPr>
        <xdr:cNvSpPr/>
      </xdr:nvSpPr>
      <xdr:spPr>
        <a:xfrm>
          <a:off x="792481" y="609598"/>
          <a:ext cx="1123921" cy="731521"/>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3</xdr:col>
      <xdr:colOff>154320</xdr:colOff>
      <xdr:row>3</xdr:row>
      <xdr:rowOff>60958</xdr:rowOff>
    </xdr:from>
    <xdr:to>
      <xdr:col>5</xdr:col>
      <xdr:colOff>59041</xdr:colOff>
      <xdr:row>7</xdr:row>
      <xdr:rowOff>60959</xdr:rowOff>
    </xdr:to>
    <xdr:sp macro="" textlink="">
      <xdr:nvSpPr>
        <xdr:cNvPr id="9" name="Rectangle: Rounded Corners 8">
          <a:extLst>
            <a:ext uri="{FF2B5EF4-FFF2-40B4-BE49-F238E27FC236}">
              <a16:creationId xmlns:a16="http://schemas.microsoft.com/office/drawing/2014/main" id="{CE569100-EAAB-FD25-B28A-DFB8F656B880}"/>
            </a:ext>
          </a:extLst>
        </xdr:cNvPr>
        <xdr:cNvSpPr/>
      </xdr:nvSpPr>
      <xdr:spPr>
        <a:xfrm>
          <a:off x="1983120" y="609598"/>
          <a:ext cx="1123921" cy="731521"/>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5</xdr:col>
      <xdr:colOff>125759</xdr:colOff>
      <xdr:row>3</xdr:row>
      <xdr:rowOff>60958</xdr:rowOff>
    </xdr:from>
    <xdr:to>
      <xdr:col>7</xdr:col>
      <xdr:colOff>30480</xdr:colOff>
      <xdr:row>7</xdr:row>
      <xdr:rowOff>60959</xdr:rowOff>
    </xdr:to>
    <xdr:sp macro="" textlink="">
      <xdr:nvSpPr>
        <xdr:cNvPr id="10" name="Rectangle: Rounded Corners 9">
          <a:extLst>
            <a:ext uri="{FF2B5EF4-FFF2-40B4-BE49-F238E27FC236}">
              <a16:creationId xmlns:a16="http://schemas.microsoft.com/office/drawing/2014/main" id="{B1271AC1-A90B-A608-C667-D00144989A18}"/>
            </a:ext>
          </a:extLst>
        </xdr:cNvPr>
        <xdr:cNvSpPr/>
      </xdr:nvSpPr>
      <xdr:spPr>
        <a:xfrm>
          <a:off x="3173759" y="609598"/>
          <a:ext cx="1123921" cy="731521"/>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1</xdr:col>
      <xdr:colOff>195945</xdr:colOff>
      <xdr:row>10</xdr:row>
      <xdr:rowOff>17417</xdr:rowOff>
    </xdr:from>
    <xdr:to>
      <xdr:col>7</xdr:col>
      <xdr:colOff>52253</xdr:colOff>
      <xdr:row>15</xdr:row>
      <xdr:rowOff>91440</xdr:rowOff>
    </xdr:to>
    <xdr:sp macro="" textlink="">
      <xdr:nvSpPr>
        <xdr:cNvPr id="22" name="Rectangle: Rounded Corners 21">
          <a:extLst>
            <a:ext uri="{FF2B5EF4-FFF2-40B4-BE49-F238E27FC236}">
              <a16:creationId xmlns:a16="http://schemas.microsoft.com/office/drawing/2014/main" id="{34FA7E21-2B18-30EA-34DC-D7A3BCEE5A92}"/>
            </a:ext>
          </a:extLst>
        </xdr:cNvPr>
        <xdr:cNvSpPr/>
      </xdr:nvSpPr>
      <xdr:spPr>
        <a:xfrm>
          <a:off x="805545" y="1846217"/>
          <a:ext cx="3513908" cy="988423"/>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1</xdr:col>
      <xdr:colOff>182881</xdr:colOff>
      <xdr:row>7</xdr:row>
      <xdr:rowOff>108857</xdr:rowOff>
    </xdr:from>
    <xdr:to>
      <xdr:col>7</xdr:col>
      <xdr:colOff>34834</xdr:colOff>
      <xdr:row>9</xdr:row>
      <xdr:rowOff>152400</xdr:rowOff>
    </xdr:to>
    <xdr:sp macro="" textlink="">
      <xdr:nvSpPr>
        <xdr:cNvPr id="23" name="Rectangle: Rounded Corners 22">
          <a:extLst>
            <a:ext uri="{FF2B5EF4-FFF2-40B4-BE49-F238E27FC236}">
              <a16:creationId xmlns:a16="http://schemas.microsoft.com/office/drawing/2014/main" id="{BC7BB21A-6B66-AB5D-A72A-736E439E6935}"/>
            </a:ext>
          </a:extLst>
        </xdr:cNvPr>
        <xdr:cNvSpPr/>
      </xdr:nvSpPr>
      <xdr:spPr>
        <a:xfrm>
          <a:off x="792481" y="1389017"/>
          <a:ext cx="3509553" cy="409303"/>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7</xdr:col>
      <xdr:colOff>100149</xdr:colOff>
      <xdr:row>7</xdr:row>
      <xdr:rowOff>13063</xdr:rowOff>
    </xdr:from>
    <xdr:to>
      <xdr:col>11</xdr:col>
      <xdr:colOff>256903</xdr:colOff>
      <xdr:row>15</xdr:row>
      <xdr:rowOff>74023</xdr:rowOff>
    </xdr:to>
    <xdr:sp macro="" textlink="">
      <xdr:nvSpPr>
        <xdr:cNvPr id="29" name="Rectangle: Rounded Corners 28">
          <a:hlinkClick xmlns:r="http://schemas.openxmlformats.org/officeDocument/2006/relationships" r:id="rId1"/>
          <a:extLst>
            <a:ext uri="{FF2B5EF4-FFF2-40B4-BE49-F238E27FC236}">
              <a16:creationId xmlns:a16="http://schemas.microsoft.com/office/drawing/2014/main" id="{E3A8C7E6-25DB-5B34-5980-192EB3F0CF70}"/>
            </a:ext>
          </a:extLst>
        </xdr:cNvPr>
        <xdr:cNvSpPr/>
      </xdr:nvSpPr>
      <xdr:spPr>
        <a:xfrm>
          <a:off x="4367349" y="1293223"/>
          <a:ext cx="2595154" cy="1524000"/>
        </a:xfrm>
        <a:prstGeom prst="roundRect">
          <a:avLst>
            <a:gd name="adj" fmla="val 596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1</xdr:col>
      <xdr:colOff>69668</xdr:colOff>
      <xdr:row>0</xdr:row>
      <xdr:rowOff>117565</xdr:rowOff>
    </xdr:from>
    <xdr:to>
      <xdr:col>5</xdr:col>
      <xdr:colOff>165463</xdr:colOff>
      <xdr:row>1</xdr:row>
      <xdr:rowOff>182879</xdr:rowOff>
    </xdr:to>
    <xdr:sp macro="" textlink="">
      <xdr:nvSpPr>
        <xdr:cNvPr id="30" name="TextBox 29">
          <a:extLst>
            <a:ext uri="{FF2B5EF4-FFF2-40B4-BE49-F238E27FC236}">
              <a16:creationId xmlns:a16="http://schemas.microsoft.com/office/drawing/2014/main" id="{257D23DA-9CFF-3152-17CE-20C316E25F38}"/>
            </a:ext>
          </a:extLst>
        </xdr:cNvPr>
        <xdr:cNvSpPr txBox="1"/>
      </xdr:nvSpPr>
      <xdr:spPr>
        <a:xfrm>
          <a:off x="679268" y="117565"/>
          <a:ext cx="2534195" cy="248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kern="1200"/>
            <a:t>Hospital</a:t>
          </a:r>
          <a:r>
            <a:rPr lang="en-IN" sz="1200" kern="1200" baseline="0"/>
            <a:t> Emergency Room Dashboard</a:t>
          </a:r>
          <a:endParaRPr lang="en-IN" sz="1200" kern="1200"/>
        </a:p>
      </xdr:txBody>
    </xdr:sp>
    <xdr:clientData/>
  </xdr:twoCellAnchor>
  <xdr:twoCellAnchor editAs="oneCell">
    <xdr:from>
      <xdr:col>0</xdr:col>
      <xdr:colOff>34833</xdr:colOff>
      <xdr:row>0</xdr:row>
      <xdr:rowOff>14402</xdr:rowOff>
    </xdr:from>
    <xdr:to>
      <xdr:col>1</xdr:col>
      <xdr:colOff>100149</xdr:colOff>
      <xdr:row>3</xdr:row>
      <xdr:rowOff>4356</xdr:rowOff>
    </xdr:to>
    <xdr:pic>
      <xdr:nvPicPr>
        <xdr:cNvPr id="32" name="Picture 31" descr="A blue hospital building with a cross&#10;&#10;AI-generated content may be incorrect.">
          <a:extLst>
            <a:ext uri="{FF2B5EF4-FFF2-40B4-BE49-F238E27FC236}">
              <a16:creationId xmlns:a16="http://schemas.microsoft.com/office/drawing/2014/main" id="{1D19A282-B0FF-C91B-0F2C-951002EFACEF}"/>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9500" t="1" r="18000" b="10169"/>
        <a:stretch/>
      </xdr:blipFill>
      <xdr:spPr>
        <a:xfrm>
          <a:off x="34833" y="14402"/>
          <a:ext cx="674916" cy="538594"/>
        </a:xfrm>
        <a:prstGeom prst="rect">
          <a:avLst/>
        </a:prstGeom>
      </xdr:spPr>
    </xdr:pic>
    <xdr:clientData/>
  </xdr:twoCellAnchor>
  <xdr:twoCellAnchor editAs="absolute">
    <xdr:from>
      <xdr:col>2</xdr:col>
      <xdr:colOff>113211</xdr:colOff>
      <xdr:row>1</xdr:row>
      <xdr:rowOff>143691</xdr:rowOff>
    </xdr:from>
    <xdr:to>
      <xdr:col>3</xdr:col>
      <xdr:colOff>496388</xdr:colOff>
      <xdr:row>2</xdr:row>
      <xdr:rowOff>108857</xdr:rowOff>
    </xdr:to>
    <xdr:sp macro="" textlink="">
      <xdr:nvSpPr>
        <xdr:cNvPr id="33" name="TextBox 32">
          <a:extLst>
            <a:ext uri="{FF2B5EF4-FFF2-40B4-BE49-F238E27FC236}">
              <a16:creationId xmlns:a16="http://schemas.microsoft.com/office/drawing/2014/main" id="{5B90EC51-60ED-E6B0-73D6-C734C9407487}"/>
            </a:ext>
          </a:extLst>
        </xdr:cNvPr>
        <xdr:cNvSpPr txBox="1"/>
      </xdr:nvSpPr>
      <xdr:spPr>
        <a:xfrm>
          <a:off x="1332411" y="326571"/>
          <a:ext cx="992777"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Monthly</a:t>
          </a:r>
          <a:r>
            <a:rPr lang="en-IN" sz="900" kern="1200" baseline="0"/>
            <a:t> Report</a:t>
          </a:r>
          <a:endParaRPr lang="en-IN" sz="900" kern="1200"/>
        </a:p>
      </xdr:txBody>
    </xdr:sp>
    <xdr:clientData/>
  </xdr:twoCellAnchor>
  <xdr:twoCellAnchor editAs="absolute">
    <xdr:from>
      <xdr:col>1</xdr:col>
      <xdr:colOff>174171</xdr:colOff>
      <xdr:row>4</xdr:row>
      <xdr:rowOff>139339</xdr:rowOff>
    </xdr:from>
    <xdr:to>
      <xdr:col>3</xdr:col>
      <xdr:colOff>87086</xdr:colOff>
      <xdr:row>5</xdr:row>
      <xdr:rowOff>104505</xdr:rowOff>
    </xdr:to>
    <xdr:sp macro="" textlink="">
      <xdr:nvSpPr>
        <xdr:cNvPr id="34" name="TextBox 33">
          <a:extLst>
            <a:ext uri="{FF2B5EF4-FFF2-40B4-BE49-F238E27FC236}">
              <a16:creationId xmlns:a16="http://schemas.microsoft.com/office/drawing/2014/main" id="{9F740260-D36A-EDE7-0D62-FFE8F5186843}"/>
            </a:ext>
          </a:extLst>
        </xdr:cNvPr>
        <xdr:cNvSpPr txBox="1"/>
      </xdr:nvSpPr>
      <xdr:spPr>
        <a:xfrm>
          <a:off x="783771" y="870859"/>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kern="1200"/>
            <a:t>No. of Patient</a:t>
          </a:r>
        </a:p>
      </xdr:txBody>
    </xdr:sp>
    <xdr:clientData/>
  </xdr:twoCellAnchor>
  <xdr:twoCellAnchor editAs="absolute">
    <xdr:from>
      <xdr:col>1</xdr:col>
      <xdr:colOff>174171</xdr:colOff>
      <xdr:row>3</xdr:row>
      <xdr:rowOff>156756</xdr:rowOff>
    </xdr:from>
    <xdr:to>
      <xdr:col>3</xdr:col>
      <xdr:colOff>87086</xdr:colOff>
      <xdr:row>4</xdr:row>
      <xdr:rowOff>121922</xdr:rowOff>
    </xdr:to>
    <xdr:sp macro="" textlink="'Pivot Report'!A5">
      <xdr:nvSpPr>
        <xdr:cNvPr id="36" name="TextBox 35">
          <a:extLst>
            <a:ext uri="{FF2B5EF4-FFF2-40B4-BE49-F238E27FC236}">
              <a16:creationId xmlns:a16="http://schemas.microsoft.com/office/drawing/2014/main" id="{DF34BBB7-5778-972B-97C2-5F2DBE652477}"/>
            </a:ext>
          </a:extLst>
        </xdr:cNvPr>
        <xdr:cNvSpPr txBox="1"/>
      </xdr:nvSpPr>
      <xdr:spPr>
        <a:xfrm>
          <a:off x="783771" y="705396"/>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4515856D-C13D-42F6-97C6-1AA19F5B5351}" type="TxLink">
            <a:rPr lang="en-US" sz="1100" b="0" i="0" u="none" strike="noStrike" kern="1200">
              <a:solidFill>
                <a:srgbClr val="000000"/>
              </a:solidFill>
              <a:latin typeface="Aptos Narrow"/>
            </a:rPr>
            <a:pPr algn="ctr"/>
            <a:t>431</a:t>
          </a:fld>
          <a:endParaRPr lang="en-IN" sz="900" kern="1200"/>
        </a:p>
      </xdr:txBody>
    </xdr:sp>
    <xdr:clientData/>
  </xdr:twoCellAnchor>
  <xdr:twoCellAnchor editAs="absolute">
    <xdr:from>
      <xdr:col>3</xdr:col>
      <xdr:colOff>148046</xdr:colOff>
      <xdr:row>4</xdr:row>
      <xdr:rowOff>139339</xdr:rowOff>
    </xdr:from>
    <xdr:to>
      <xdr:col>5</xdr:col>
      <xdr:colOff>60961</xdr:colOff>
      <xdr:row>5</xdr:row>
      <xdr:rowOff>104505</xdr:rowOff>
    </xdr:to>
    <xdr:sp macro="" textlink="">
      <xdr:nvSpPr>
        <xdr:cNvPr id="37" name="TextBox 36">
          <a:extLst>
            <a:ext uri="{FF2B5EF4-FFF2-40B4-BE49-F238E27FC236}">
              <a16:creationId xmlns:a16="http://schemas.microsoft.com/office/drawing/2014/main" id="{03431B69-353E-32C9-C5C2-7EAF898A16C4}"/>
            </a:ext>
          </a:extLst>
        </xdr:cNvPr>
        <xdr:cNvSpPr txBox="1"/>
      </xdr:nvSpPr>
      <xdr:spPr>
        <a:xfrm>
          <a:off x="1976846" y="870859"/>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kern="1200"/>
            <a:t>Average Wait Time</a:t>
          </a:r>
        </a:p>
      </xdr:txBody>
    </xdr:sp>
    <xdr:clientData/>
  </xdr:twoCellAnchor>
  <xdr:twoCellAnchor editAs="absolute">
    <xdr:from>
      <xdr:col>3</xdr:col>
      <xdr:colOff>148046</xdr:colOff>
      <xdr:row>3</xdr:row>
      <xdr:rowOff>156756</xdr:rowOff>
    </xdr:from>
    <xdr:to>
      <xdr:col>5</xdr:col>
      <xdr:colOff>60961</xdr:colOff>
      <xdr:row>4</xdr:row>
      <xdr:rowOff>121922</xdr:rowOff>
    </xdr:to>
    <xdr:sp macro="" textlink="'Pivot Report'!A9">
      <xdr:nvSpPr>
        <xdr:cNvPr id="38" name="TextBox 37">
          <a:extLst>
            <a:ext uri="{FF2B5EF4-FFF2-40B4-BE49-F238E27FC236}">
              <a16:creationId xmlns:a16="http://schemas.microsoft.com/office/drawing/2014/main" id="{2587E25C-2C0E-0A80-94BC-CEC8D9C89F96}"/>
            </a:ext>
          </a:extLst>
        </xdr:cNvPr>
        <xdr:cNvSpPr txBox="1"/>
      </xdr:nvSpPr>
      <xdr:spPr>
        <a:xfrm>
          <a:off x="1976846" y="705396"/>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FDF5C98-7B7C-4602-95A9-D008DD62AABF}" type="TxLink">
            <a:rPr lang="en-US" sz="1100" b="0" i="0" u="none" strike="noStrike" kern="1200">
              <a:solidFill>
                <a:srgbClr val="000000"/>
              </a:solidFill>
              <a:latin typeface="Aptos Narrow"/>
            </a:rPr>
            <a:pPr algn="ctr"/>
            <a:t>36.67</a:t>
          </a:fld>
          <a:endParaRPr lang="en-IN" sz="900" kern="1200"/>
        </a:p>
      </xdr:txBody>
    </xdr:sp>
    <xdr:clientData/>
  </xdr:twoCellAnchor>
  <xdr:twoCellAnchor editAs="absolute">
    <xdr:from>
      <xdr:col>5</xdr:col>
      <xdr:colOff>121921</xdr:colOff>
      <xdr:row>4</xdr:row>
      <xdr:rowOff>139339</xdr:rowOff>
    </xdr:from>
    <xdr:to>
      <xdr:col>7</xdr:col>
      <xdr:colOff>34836</xdr:colOff>
      <xdr:row>5</xdr:row>
      <xdr:rowOff>104505</xdr:rowOff>
    </xdr:to>
    <xdr:sp macro="" textlink="">
      <xdr:nvSpPr>
        <xdr:cNvPr id="39" name="TextBox 38">
          <a:extLst>
            <a:ext uri="{FF2B5EF4-FFF2-40B4-BE49-F238E27FC236}">
              <a16:creationId xmlns:a16="http://schemas.microsoft.com/office/drawing/2014/main" id="{21900A3A-6DB8-10F8-E135-D5987D9D90B8}"/>
            </a:ext>
          </a:extLst>
        </xdr:cNvPr>
        <xdr:cNvSpPr txBox="1"/>
      </xdr:nvSpPr>
      <xdr:spPr>
        <a:xfrm>
          <a:off x="3169921" y="870859"/>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kern="1200"/>
            <a:t>Patient Satisfaction</a:t>
          </a:r>
          <a:r>
            <a:rPr lang="en-IN" sz="800" kern="1200" baseline="0"/>
            <a:t> Score</a:t>
          </a:r>
          <a:endParaRPr lang="en-IN" sz="800" kern="1200"/>
        </a:p>
      </xdr:txBody>
    </xdr:sp>
    <xdr:clientData/>
  </xdr:twoCellAnchor>
  <xdr:twoCellAnchor editAs="absolute">
    <xdr:from>
      <xdr:col>5</xdr:col>
      <xdr:colOff>100150</xdr:colOff>
      <xdr:row>3</xdr:row>
      <xdr:rowOff>167641</xdr:rowOff>
    </xdr:from>
    <xdr:to>
      <xdr:col>7</xdr:col>
      <xdr:colOff>13065</xdr:colOff>
      <xdr:row>4</xdr:row>
      <xdr:rowOff>132807</xdr:rowOff>
    </xdr:to>
    <xdr:sp macro="" textlink="'Pivot Report'!A12">
      <xdr:nvSpPr>
        <xdr:cNvPr id="40" name="TextBox 39">
          <a:extLst>
            <a:ext uri="{FF2B5EF4-FFF2-40B4-BE49-F238E27FC236}">
              <a16:creationId xmlns:a16="http://schemas.microsoft.com/office/drawing/2014/main" id="{1C3BA6C6-B61B-7EDF-96D9-EB8A03E391F3}"/>
            </a:ext>
          </a:extLst>
        </xdr:cNvPr>
        <xdr:cNvSpPr txBox="1"/>
      </xdr:nvSpPr>
      <xdr:spPr>
        <a:xfrm>
          <a:off x="3131821" y="739141"/>
          <a:ext cx="1115787" cy="155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5F3AE061-D6A0-4B5C-8101-4A1FCEF8F55A}" type="TxLink">
            <a:rPr lang="en-US" sz="1100" b="0" i="0" u="none" strike="noStrike" kern="1200">
              <a:solidFill>
                <a:srgbClr val="000000"/>
              </a:solidFill>
              <a:latin typeface="Aptos Narrow"/>
            </a:rPr>
            <a:pPr algn="ctr"/>
            <a:t>4.72</a:t>
          </a:fld>
          <a:endParaRPr lang="en-IN" sz="900" kern="1200"/>
        </a:p>
      </xdr:txBody>
    </xdr:sp>
    <xdr:clientData/>
  </xdr:twoCellAnchor>
  <xdr:twoCellAnchor editAs="oneCell">
    <xdr:from>
      <xdr:col>2</xdr:col>
      <xdr:colOff>461555</xdr:colOff>
      <xdr:row>3</xdr:row>
      <xdr:rowOff>69671</xdr:rowOff>
    </xdr:from>
    <xdr:to>
      <xdr:col>3</xdr:col>
      <xdr:colOff>65313</xdr:colOff>
      <xdr:row>4</xdr:row>
      <xdr:rowOff>100149</xdr:rowOff>
    </xdr:to>
    <xdr:pic>
      <xdr:nvPicPr>
        <xdr:cNvPr id="42" name="Graphic 41" descr="Male profile with solid fill">
          <a:extLst>
            <a:ext uri="{FF2B5EF4-FFF2-40B4-BE49-F238E27FC236}">
              <a16:creationId xmlns:a16="http://schemas.microsoft.com/office/drawing/2014/main" id="{B206A68F-720D-240B-94C8-68E0B6F2CEA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80755" y="618311"/>
          <a:ext cx="213358" cy="213358"/>
        </a:xfrm>
        <a:prstGeom prst="rect">
          <a:avLst/>
        </a:prstGeom>
      </xdr:spPr>
    </xdr:pic>
    <xdr:clientData/>
  </xdr:twoCellAnchor>
  <xdr:twoCellAnchor editAs="oneCell">
    <xdr:from>
      <xdr:col>4</xdr:col>
      <xdr:colOff>429987</xdr:colOff>
      <xdr:row>3</xdr:row>
      <xdr:rowOff>82730</xdr:rowOff>
    </xdr:from>
    <xdr:to>
      <xdr:col>5</xdr:col>
      <xdr:colOff>3266</xdr:colOff>
      <xdr:row>4</xdr:row>
      <xdr:rowOff>82729</xdr:rowOff>
    </xdr:to>
    <xdr:pic>
      <xdr:nvPicPr>
        <xdr:cNvPr id="44" name="Graphic 43" descr="Hourglass Full with solid fill">
          <a:extLst>
            <a:ext uri="{FF2B5EF4-FFF2-40B4-BE49-F238E27FC236}">
              <a16:creationId xmlns:a16="http://schemas.microsoft.com/office/drawing/2014/main" id="{021717BE-B691-5CC1-2B79-B30400F55A5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68387" y="654230"/>
          <a:ext cx="166550" cy="190499"/>
        </a:xfrm>
        <a:prstGeom prst="rect">
          <a:avLst/>
        </a:prstGeom>
      </xdr:spPr>
    </xdr:pic>
    <xdr:clientData/>
  </xdr:twoCellAnchor>
  <xdr:twoCellAnchor editAs="oneCell">
    <xdr:from>
      <xdr:col>6</xdr:col>
      <xdr:colOff>391886</xdr:colOff>
      <xdr:row>3</xdr:row>
      <xdr:rowOff>77930</xdr:rowOff>
    </xdr:from>
    <xdr:to>
      <xdr:col>7</xdr:col>
      <xdr:colOff>13063</xdr:colOff>
      <xdr:row>4</xdr:row>
      <xdr:rowOff>125827</xdr:rowOff>
    </xdr:to>
    <xdr:pic>
      <xdr:nvPicPr>
        <xdr:cNvPr id="46" name="Graphic 45" descr="Rating with solid fill">
          <a:extLst>
            <a:ext uri="{FF2B5EF4-FFF2-40B4-BE49-F238E27FC236}">
              <a16:creationId xmlns:a16="http://schemas.microsoft.com/office/drawing/2014/main" id="{308E21DB-796A-7FFD-BFC6-88E3C3D88B0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049486" y="626570"/>
          <a:ext cx="230777" cy="230777"/>
        </a:xfrm>
        <a:prstGeom prst="rect">
          <a:avLst/>
        </a:prstGeom>
      </xdr:spPr>
    </xdr:pic>
    <xdr:clientData/>
  </xdr:twoCellAnchor>
  <xdr:twoCellAnchor editAs="oneCell">
    <xdr:from>
      <xdr:col>0</xdr:col>
      <xdr:colOff>87086</xdr:colOff>
      <xdr:row>3</xdr:row>
      <xdr:rowOff>82731</xdr:rowOff>
    </xdr:from>
    <xdr:to>
      <xdr:col>1</xdr:col>
      <xdr:colOff>100148</xdr:colOff>
      <xdr:row>15</xdr:row>
      <xdr:rowOff>69669</xdr:rowOff>
    </xdr:to>
    <mc:AlternateContent xmlns:mc="http://schemas.openxmlformats.org/markup-compatibility/2006" xmlns:a14="http://schemas.microsoft.com/office/drawing/2010/main">
      <mc:Choice Requires="a14">
        <xdr:graphicFrame macro="">
          <xdr:nvGraphicFramePr>
            <xdr:cNvPr id="47" name="Date (Month)">
              <a:extLst>
                <a:ext uri="{FF2B5EF4-FFF2-40B4-BE49-F238E27FC236}">
                  <a16:creationId xmlns:a16="http://schemas.microsoft.com/office/drawing/2014/main" id="{74AAD308-D3C2-4526-947B-D6E47E216952}"/>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87086" y="631371"/>
              <a:ext cx="622662" cy="21814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156755</xdr:colOff>
      <xdr:row>4</xdr:row>
      <xdr:rowOff>148045</xdr:rowOff>
    </xdr:from>
    <xdr:to>
      <xdr:col>3</xdr:col>
      <xdr:colOff>87087</xdr:colOff>
      <xdr:row>7</xdr:row>
      <xdr:rowOff>60961</xdr:rowOff>
    </xdr:to>
    <xdr:graphicFrame macro="">
      <xdr:nvGraphicFramePr>
        <xdr:cNvPr id="49" name="Chart 48">
          <a:hlinkClick xmlns:r="http://schemas.openxmlformats.org/officeDocument/2006/relationships" r:id="rId9"/>
          <a:extLst>
            <a:ext uri="{FF2B5EF4-FFF2-40B4-BE49-F238E27FC236}">
              <a16:creationId xmlns:a16="http://schemas.microsoft.com/office/drawing/2014/main" id="{C862FBE8-4FA4-1B06-F9E3-FF6D8C1422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152400</xdr:colOff>
      <xdr:row>5</xdr:row>
      <xdr:rowOff>152400</xdr:rowOff>
    </xdr:from>
    <xdr:to>
      <xdr:col>5</xdr:col>
      <xdr:colOff>65314</xdr:colOff>
      <xdr:row>7</xdr:row>
      <xdr:rowOff>59869</xdr:rowOff>
    </xdr:to>
    <xdr:graphicFrame macro="">
      <xdr:nvGraphicFramePr>
        <xdr:cNvPr id="3" name="Chart 2">
          <a:hlinkClick xmlns:r="http://schemas.openxmlformats.org/officeDocument/2006/relationships" r:id="rId11"/>
          <a:extLst>
            <a:ext uri="{FF2B5EF4-FFF2-40B4-BE49-F238E27FC236}">
              <a16:creationId xmlns:a16="http://schemas.microsoft.com/office/drawing/2014/main" id="{AB15F469-D7EA-4F21-846B-0A6AB31D1D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117568</xdr:colOff>
      <xdr:row>5</xdr:row>
      <xdr:rowOff>108857</xdr:rowOff>
    </xdr:from>
    <xdr:to>
      <xdr:col>7</xdr:col>
      <xdr:colOff>32657</xdr:colOff>
      <xdr:row>7</xdr:row>
      <xdr:rowOff>54428</xdr:rowOff>
    </xdr:to>
    <xdr:graphicFrame macro="">
      <xdr:nvGraphicFramePr>
        <xdr:cNvPr id="11" name="Chart 10">
          <a:hlinkClick xmlns:r="http://schemas.openxmlformats.org/officeDocument/2006/relationships" r:id="rId13"/>
          <a:extLst>
            <a:ext uri="{FF2B5EF4-FFF2-40B4-BE49-F238E27FC236}">
              <a16:creationId xmlns:a16="http://schemas.microsoft.com/office/drawing/2014/main" id="{DCEEABB6-45E6-4E7C-9CE3-ECEC88B6B6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168728</xdr:colOff>
          <xdr:row>7</xdr:row>
          <xdr:rowOff>108858</xdr:rowOff>
        </xdr:from>
        <xdr:to>
          <xdr:col>7</xdr:col>
          <xdr:colOff>43542</xdr:colOff>
          <xdr:row>9</xdr:row>
          <xdr:rowOff>140784</xdr:rowOff>
        </xdr:to>
        <xdr:pic>
          <xdr:nvPicPr>
            <xdr:cNvPr id="14" name="Picture 13">
              <a:extLst>
                <a:ext uri="{FF2B5EF4-FFF2-40B4-BE49-F238E27FC236}">
                  <a16:creationId xmlns:a16="http://schemas.microsoft.com/office/drawing/2014/main" id="{12C76EFA-8E6D-C525-3C66-15135246FF66}"/>
                </a:ext>
              </a:extLst>
            </xdr:cNvPr>
            <xdr:cNvPicPr>
              <a:picLocks noChangeAspect="1" noChangeArrowheads="1"/>
              <a:extLst>
                <a:ext uri="{84589F7E-364E-4C9E-8A38-B11213B215E9}">
                  <a14:cameraTool cellRange="'Pivot Report'!$A$43:$D$45" spid="_x0000_s2066"/>
                </a:ext>
              </a:extLst>
            </xdr:cNvPicPr>
          </xdr:nvPicPr>
          <xdr:blipFill>
            <a:blip xmlns:r="http://schemas.openxmlformats.org/officeDocument/2006/relationships" r:embed="rId15"/>
            <a:srcRect/>
            <a:stretch>
              <a:fillRect/>
            </a:stretch>
          </xdr:blipFill>
          <xdr:spPr bwMode="auto">
            <a:xfrm>
              <a:off x="778328" y="1442358"/>
              <a:ext cx="3499757" cy="412926"/>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195944</xdr:colOff>
      <xdr:row>9</xdr:row>
      <xdr:rowOff>131716</xdr:rowOff>
    </xdr:from>
    <xdr:to>
      <xdr:col>7</xdr:col>
      <xdr:colOff>43542</xdr:colOff>
      <xdr:row>15</xdr:row>
      <xdr:rowOff>103413</xdr:rowOff>
    </xdr:to>
    <xdr:graphicFrame macro="">
      <xdr:nvGraphicFramePr>
        <xdr:cNvPr id="15" name="Chart 14">
          <a:extLst>
            <a:ext uri="{FF2B5EF4-FFF2-40B4-BE49-F238E27FC236}">
              <a16:creationId xmlns:a16="http://schemas.microsoft.com/office/drawing/2014/main" id="{DA070941-05FF-4348-874A-D475228E12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130627</xdr:colOff>
      <xdr:row>0</xdr:row>
      <xdr:rowOff>43544</xdr:rowOff>
    </xdr:from>
    <xdr:to>
      <xdr:col>9</xdr:col>
      <xdr:colOff>70756</xdr:colOff>
      <xdr:row>5</xdr:row>
      <xdr:rowOff>174171</xdr:rowOff>
    </xdr:to>
    <xdr:graphicFrame macro="">
      <xdr:nvGraphicFramePr>
        <xdr:cNvPr id="17" name="Chart 16">
          <a:extLst>
            <a:ext uri="{FF2B5EF4-FFF2-40B4-BE49-F238E27FC236}">
              <a16:creationId xmlns:a16="http://schemas.microsoft.com/office/drawing/2014/main" id="{421CDEBF-8A0E-474F-BA38-D2633ADDDC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255814</xdr:colOff>
      <xdr:row>0</xdr:row>
      <xdr:rowOff>97973</xdr:rowOff>
    </xdr:from>
    <xdr:to>
      <xdr:col>11</xdr:col>
      <xdr:colOff>103414</xdr:colOff>
      <xdr:row>5</xdr:row>
      <xdr:rowOff>136071</xdr:rowOff>
    </xdr:to>
    <xdr:graphicFrame macro="">
      <xdr:nvGraphicFramePr>
        <xdr:cNvPr id="18" name="Chart 17">
          <a:extLst>
            <a:ext uri="{FF2B5EF4-FFF2-40B4-BE49-F238E27FC236}">
              <a16:creationId xmlns:a16="http://schemas.microsoft.com/office/drawing/2014/main" id="{F06BE06A-B3EA-4DD3-B333-12BE159AB4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7</xdr:col>
      <xdr:colOff>130629</xdr:colOff>
      <xdr:row>5</xdr:row>
      <xdr:rowOff>117568</xdr:rowOff>
    </xdr:from>
    <xdr:to>
      <xdr:col>9</xdr:col>
      <xdr:colOff>43544</xdr:colOff>
      <xdr:row>6</xdr:row>
      <xdr:rowOff>82734</xdr:rowOff>
    </xdr:to>
    <xdr:sp macro="" textlink="">
      <xdr:nvSpPr>
        <xdr:cNvPr id="19" name="TextBox 18">
          <a:extLst>
            <a:ext uri="{FF2B5EF4-FFF2-40B4-BE49-F238E27FC236}">
              <a16:creationId xmlns:a16="http://schemas.microsoft.com/office/drawing/2014/main" id="{2486326F-61A0-5C7E-1DE0-EAD51AE2D994}"/>
            </a:ext>
          </a:extLst>
        </xdr:cNvPr>
        <xdr:cNvSpPr txBox="1"/>
      </xdr:nvSpPr>
      <xdr:spPr>
        <a:xfrm>
          <a:off x="4365172" y="1070068"/>
          <a:ext cx="1132115" cy="155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kern="1200"/>
            <a:t> Patient Attend Status</a:t>
          </a:r>
        </a:p>
      </xdr:txBody>
    </xdr:sp>
    <xdr:clientData/>
  </xdr:twoCellAnchor>
  <xdr:twoCellAnchor editAs="absolute">
    <xdr:from>
      <xdr:col>9</xdr:col>
      <xdr:colOff>245328</xdr:colOff>
      <xdr:row>5</xdr:row>
      <xdr:rowOff>117568</xdr:rowOff>
    </xdr:from>
    <xdr:to>
      <xdr:col>11</xdr:col>
      <xdr:colOff>158243</xdr:colOff>
      <xdr:row>6</xdr:row>
      <xdr:rowOff>82734</xdr:rowOff>
    </xdr:to>
    <xdr:sp macro="" textlink="">
      <xdr:nvSpPr>
        <xdr:cNvPr id="20" name="TextBox 19">
          <a:extLst>
            <a:ext uri="{FF2B5EF4-FFF2-40B4-BE49-F238E27FC236}">
              <a16:creationId xmlns:a16="http://schemas.microsoft.com/office/drawing/2014/main" id="{C3846D38-32D9-F584-6431-234AC4D8ABBC}"/>
            </a:ext>
          </a:extLst>
        </xdr:cNvPr>
        <xdr:cNvSpPr txBox="1"/>
      </xdr:nvSpPr>
      <xdr:spPr>
        <a:xfrm>
          <a:off x="5681061" y="1065081"/>
          <a:ext cx="1129721" cy="154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kern="1200"/>
            <a:t>Gendeer</a:t>
          </a:r>
          <a:r>
            <a:rPr lang="en-IN" sz="800" kern="1200" baseline="0"/>
            <a:t> Wise Analysis</a:t>
          </a:r>
          <a:endParaRPr lang="en-IN" sz="800" kern="1200"/>
        </a:p>
      </xdr:txBody>
    </xdr:sp>
    <xdr:clientData/>
  </xdr:twoCellAnchor>
  <xdr:twoCellAnchor>
    <xdr:from>
      <xdr:col>7</xdr:col>
      <xdr:colOff>129659</xdr:colOff>
      <xdr:row>7</xdr:row>
      <xdr:rowOff>104725</xdr:rowOff>
    </xdr:from>
    <xdr:to>
      <xdr:col>11</xdr:col>
      <xdr:colOff>189503</xdr:colOff>
      <xdr:row>14</xdr:row>
      <xdr:rowOff>89763</xdr:rowOff>
    </xdr:to>
    <xdr:graphicFrame macro="">
      <xdr:nvGraphicFramePr>
        <xdr:cNvPr id="21" name="Chart 20">
          <a:extLst>
            <a:ext uri="{FF2B5EF4-FFF2-40B4-BE49-F238E27FC236}">
              <a16:creationId xmlns:a16="http://schemas.microsoft.com/office/drawing/2014/main" id="{1C7062A2-1262-419C-9AA5-8500346BD4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absolute">
    <xdr:from>
      <xdr:col>7</xdr:col>
      <xdr:colOff>528612</xdr:colOff>
      <xdr:row>14</xdr:row>
      <xdr:rowOff>67698</xdr:rowOff>
    </xdr:from>
    <xdr:to>
      <xdr:col>10</xdr:col>
      <xdr:colOff>418901</xdr:colOff>
      <xdr:row>15</xdr:row>
      <xdr:rowOff>32865</xdr:rowOff>
    </xdr:to>
    <xdr:sp macro="" textlink="">
      <xdr:nvSpPr>
        <xdr:cNvPr id="24" name="TextBox 23">
          <a:extLst>
            <a:ext uri="{FF2B5EF4-FFF2-40B4-BE49-F238E27FC236}">
              <a16:creationId xmlns:a16="http://schemas.microsoft.com/office/drawing/2014/main" id="{BF24FD1C-CFE1-6DB9-55B2-AE3D03ACA778}"/>
            </a:ext>
          </a:extLst>
        </xdr:cNvPr>
        <xdr:cNvSpPr txBox="1"/>
      </xdr:nvSpPr>
      <xdr:spPr>
        <a:xfrm>
          <a:off x="4747539" y="2720735"/>
          <a:ext cx="1715498" cy="154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kern="1200"/>
            <a:t> No.</a:t>
          </a:r>
          <a:r>
            <a:rPr lang="en-IN" sz="800" kern="1200" baseline="0"/>
            <a:t> of  patient by Department Referal</a:t>
          </a:r>
          <a:endParaRPr lang="en-IN" sz="800" kern="1200"/>
        </a:p>
      </xdr:txBody>
    </xdr:sp>
    <xdr:clientData/>
  </xdr:twoCellAnchor>
  <xdr:twoCellAnchor editAs="oneCell">
    <xdr:from>
      <xdr:col>5</xdr:col>
      <xdr:colOff>280146</xdr:colOff>
      <xdr:row>0</xdr:row>
      <xdr:rowOff>161084</xdr:rowOff>
    </xdr:from>
    <xdr:to>
      <xdr:col>7</xdr:col>
      <xdr:colOff>35018</xdr:colOff>
      <xdr:row>2</xdr:row>
      <xdr:rowOff>140074</xdr:rowOff>
    </xdr:to>
    <mc:AlternateContent xmlns:mc="http://schemas.openxmlformats.org/markup-compatibility/2006" xmlns:a14="http://schemas.microsoft.com/office/drawing/2010/main">
      <mc:Choice Requires="a14">
        <xdr:graphicFrame macro="">
          <xdr:nvGraphicFramePr>
            <xdr:cNvPr id="26" name="Date (Year)">
              <a:extLst>
                <a:ext uri="{FF2B5EF4-FFF2-40B4-BE49-F238E27FC236}">
                  <a16:creationId xmlns:a16="http://schemas.microsoft.com/office/drawing/2014/main" id="{1EE2A266-BF3A-4C81-83C6-C9D59628E0B4}"/>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305734" y="161084"/>
              <a:ext cx="952501" cy="3571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0.32759</cdr:x>
      <cdr:y>0.79217</cdr:y>
    </cdr:from>
    <cdr:to>
      <cdr:x>0.68398</cdr:x>
      <cdr:y>1</cdr:y>
    </cdr:to>
    <cdr:pic>
      <cdr:nvPicPr>
        <cdr:cNvPr id="3" name="chart">
          <a:extLst xmlns:a="http://schemas.openxmlformats.org/drawingml/2006/main">
            <a:ext uri="{FF2B5EF4-FFF2-40B4-BE49-F238E27FC236}">
              <a16:creationId xmlns:a16="http://schemas.microsoft.com/office/drawing/2014/main" id="{85C739DF-14F3-D79D-8F61-3F0431217F3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137557" y="883029"/>
          <a:ext cx="1237595" cy="231668"/>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200025</xdr:colOff>
      <xdr:row>19</xdr:row>
      <xdr:rowOff>133350</xdr:rowOff>
    </xdr:to>
    <xdr:graphicFrame macro="">
      <xdr:nvGraphicFramePr>
        <xdr:cNvPr id="3" name="Chart 2">
          <a:extLst>
            <a:ext uri="{FF2B5EF4-FFF2-40B4-BE49-F238E27FC236}">
              <a16:creationId xmlns:a16="http://schemas.microsoft.com/office/drawing/2014/main" id="{3DF3EC66-CD02-4AD1-93AA-C15E2F2681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0.00582</cdr:x>
      <cdr:y>0.01354</cdr:y>
    </cdr:from>
    <cdr:to>
      <cdr:x>0.04139</cdr:x>
      <cdr:y>0.09634</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B338BB3B-7260-4262-EC1E-7A50BE4E955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310753" cy="310753"/>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0</xdr:colOff>
      <xdr:row>0</xdr:row>
      <xdr:rowOff>123824</xdr:rowOff>
    </xdr:from>
    <xdr:to>
      <xdr:col>13</xdr:col>
      <xdr:colOff>452438</xdr:colOff>
      <xdr:row>14</xdr:row>
      <xdr:rowOff>14288</xdr:rowOff>
    </xdr:to>
    <xdr:graphicFrame macro="">
      <xdr:nvGraphicFramePr>
        <xdr:cNvPr id="2" name="Chart 1">
          <a:extLst>
            <a:ext uri="{FF2B5EF4-FFF2-40B4-BE49-F238E27FC236}">
              <a16:creationId xmlns:a16="http://schemas.microsoft.com/office/drawing/2014/main" id="{AAEE8FEB-0DE1-4333-B7E6-BAEAC1EE75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1.19814E-7</cdr:x>
      <cdr:y>3.91012E-7</cdr:y>
    </cdr:from>
    <cdr:to>
      <cdr:x>0.03723</cdr:x>
      <cdr:y>0.12151</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901AA1B1-8AD0-AAF4-E959-DAA5C1D00D0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 y="1"/>
          <a:ext cx="310753" cy="310753"/>
        </a:xfrm>
        <a:prstGeom xmlns:a="http://schemas.openxmlformats.org/drawingml/2006/main" prst="rect">
          <a:avLst/>
        </a:prstGeom>
      </cdr:spPr>
    </cdr:pic>
  </cdr:relSizeAnchor>
</c:userShapes>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76201</xdr:colOff>
      <xdr:row>19</xdr:row>
      <xdr:rowOff>47625</xdr:rowOff>
    </xdr:to>
    <xdr:graphicFrame macro="">
      <xdr:nvGraphicFramePr>
        <xdr:cNvPr id="2" name="Chart 1">
          <a:extLst>
            <a:ext uri="{FF2B5EF4-FFF2-40B4-BE49-F238E27FC236}">
              <a16:creationId xmlns:a16="http://schemas.microsoft.com/office/drawing/2014/main" id="{4BA55405-7A52-4D33-90CB-4DE1D79AA7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0.00551</cdr:x>
      <cdr:y>0.01385</cdr:y>
    </cdr:from>
    <cdr:to>
      <cdr:x>0.03921</cdr:x>
      <cdr:y>0.09859</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F1843D83-A3D7-33B7-3060-7D81C8EE3A4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310753" cy="310753"/>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 SOLUTION" refreshedDate="46022.772860648147" createdVersion="5" refreshedVersion="8" minRefreshableVersion="3" recordCount="0" supportSubquery="1" supportAdvancedDrill="1" xr:uid="{95AC6C11-972D-4A1C-84DF-64437728687B}">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 SOLUTION" refreshedDate="46022.772860763886" createdVersion="5" refreshedVersion="8" minRefreshableVersion="3" recordCount="0" supportSubquery="1" supportAdvancedDrill="1" xr:uid="{0AA6E62F-DC73-4878-988E-2A361726DF0D}">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 SOLUTION" refreshedDate="46022.772860879631" createdVersion="5" refreshedVersion="8" minRefreshableVersion="3" recordCount="0" supportSubquery="1" supportAdvancedDrill="1" xr:uid="{7F9536EE-73C4-4E62-98F5-A2E60FAF89A7}">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 SOLUTION" refreshedDate="46022.77286099537" createdVersion="5" refreshedVersion="8" minRefreshableVersion="3" recordCount="0" supportSubquery="1" supportAdvancedDrill="1" xr:uid="{8AEE3370-BC49-40A2-8687-67DADA00FBD7}">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 SOLUTION" refreshedDate="46022.772861342593" createdVersion="5" refreshedVersion="8" minRefreshableVersion="3" recordCount="0" supportSubquery="1" supportAdvancedDrill="1" xr:uid="{6D1D4AFC-073D-4CBF-9253-A368F5A42799}">
  <cacheSource type="external" connectionId="3"/>
  <cacheFields count="4">
    <cacheField name="[Calendar_Table].[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 SOLUTION" refreshedDate="46022.772861689817" createdVersion="5" refreshedVersion="8" minRefreshableVersion="3" recordCount="0" supportSubquery="1" supportAdvancedDrill="1" xr:uid="{4CFF6621-E7F6-4259-8010-094D126A2C73}">
  <cacheSource type="external" connectionId="3"/>
  <cacheFields count="4">
    <cacheField name="[Calendar_Table].[Date (Day)].[Date (Day)]" caption="Date (Day)" numFmtId="0" hierarchy="2" level="1">
      <sharedItems count="28">
        <s v="1-Feb"/>
        <s v="2-Feb"/>
        <s v="3-Feb"/>
        <s v="4-Feb"/>
        <s v="5-Feb"/>
        <s v="6-Feb"/>
        <s v="7-Feb"/>
        <s v="8-Feb"/>
        <s v="9-Feb"/>
        <s v="10-Feb"/>
        <s v="11-Feb"/>
        <s v="12-Feb"/>
        <s v="13-Feb"/>
        <s v="14-Feb"/>
        <s v="15-Feb"/>
        <s v="16-Feb"/>
        <s v="17-Feb"/>
        <s v="18-Feb"/>
        <s v="19-Feb"/>
        <s v="20-Feb"/>
        <s v="21-Feb"/>
        <s v="22-Feb"/>
        <s v="23-Feb"/>
        <s v="24-Feb"/>
        <s v="25-Feb"/>
        <s v="27-Feb"/>
        <s v="28-Feb"/>
        <s v="29-Feb"/>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 SOLUTION" refreshedDate="46022.77286203704" createdVersion="5" refreshedVersion="8" minRefreshableVersion="3" recordCount="0" supportSubquery="1" supportAdvancedDrill="1" xr:uid="{45220926-A6D0-4E79-908B-BBFE83F04CAD}">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 SOLUTION" refreshedDate="46022.772862384256" createdVersion="5" refreshedVersion="8" minRefreshableVersion="3" recordCount="0" supportSubquery="1" supportAdvancedDrill="1" xr:uid="{3AAFF3F8-8F25-43BF-A483-88BA1223035D}">
  <cacheSource type="external" connectionId="3"/>
  <cacheFields count="4">
    <cacheField name="[Calendar_Table].[Date (Month)].[Date (Month)]" caption="Date (Month)" numFmtId="0" hierarchy="1" level="1">
      <sharedItems containsSemiMixedTypes="0" containsNonDate="0" containsString="0"/>
    </cacheField>
    <cacheField name="[Measures].[Count of Age Group]" caption="Count of Age Group" numFmtId="0" hierarchy="30" level="32767"/>
    <cacheField name="[Hospital Emergency Room Data].[Age Group].[Age Group]" caption="Age Group" numFmtId="0" hierarchy="16" level="1">
      <sharedItems count="8">
        <s v="0-09"/>
        <s v="10-19"/>
        <s v="20-29"/>
        <s v="30-39"/>
        <s v="40-49"/>
        <s v="50-59"/>
        <s v="60-69"/>
        <s v="70-79"/>
      </sharedItems>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 SOLUTION" refreshedDate="46022.772862847225" createdVersion="5" refreshedVersion="8" minRefreshableVersion="3" recordCount="0" supportSubquery="1" supportAdvancedDrill="1" xr:uid="{7E3E8FC6-CF1D-4CEF-952B-CD33639FE232}">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 SOLUTION" refreshedDate="46022.772863194441" createdVersion="5" refreshedVersion="8" minRefreshableVersion="3" recordCount="0" supportSubquery="1" supportAdvancedDrill="1" xr:uid="{55726DA0-305D-4C32-A0BA-F92E64478D99}">
  <cacheSource type="external" connectionId="3"/>
  <cacheFields count="4">
    <cacheField name="[Calendar_Table].[Date (Month)].[Date (Month)]" caption="Date (Month)" numFmtId="0" hierarchy="1" level="1">
      <sharedItems containsSemiMixedTypes="0" containsNonDate="0" containsString="0"/>
    </cacheField>
    <cacheField name="[Measures].[Count of Patient Gender]" caption="Count of Patient Gender" numFmtId="0" hierarchy="32" level="32767"/>
    <cacheField name="[Hospital Emergency Room Data].[Patient Gender].[Patient Gender]" caption="Patient Gender" numFmtId="0" hierarchy="9" level="1">
      <sharedItems count="2">
        <s v="Female"/>
        <s v="Male"/>
      </sharedItems>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 SOLUTION" refreshedDate="46022.772863541664" createdVersion="5" refreshedVersion="8" minRefreshableVersion="3" recordCount="0" supportSubquery="1" supportAdvancedDrill="1" xr:uid="{CE5B10F8-0A3C-44D0-8972-39046F70B714}">
  <cacheSource type="external" connectionId="3"/>
  <cacheFields count="4">
    <cacheField name="[Calendar_Table].[Date (Month)].[Date (Month)]" caption="Date (Month)" numFmtId="0" hierarchy="1" level="1">
      <sharedItems containsSemiMixedTypes="0" containsNonDate="0" containsString="0"/>
    </cacheField>
    <cacheField name="[Measures].[Count of Department Referral]" caption="Count of Department Referral" numFmtId="0" hierarchy="33"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 SOLUTION" refreshedDate="46022.772863888888" createdVersion="5" refreshedVersion="8" minRefreshableVersion="3" recordCount="0" supportSubquery="1" supportAdvancedDrill="1" xr:uid="{B35CE5DB-846E-4E6A-AE53-008389700253}">
  <cacheSource type="external" connectionId="3"/>
  <cacheFields count="4">
    <cacheField name="[Calendar_Table].[Date (Month)].[Date (Month)]" caption="Date (Month)" numFmtId="0" hierarchy="1" level="1">
      <sharedItems count="1">
        <s v="May"/>
      </sharedItems>
    </cacheField>
    <cacheField name="[Calendar_Table].[Date].[Date]" caption="Date" numFmtId="0" level="1">
      <sharedItems containsSemiMixedTypes="0" containsNonDate="0" containsDate="1" containsString="0" minDate="2023-05-01T00:00:00" maxDate="2024-06-01T00:00:00" count="62">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sharedItems>
    </cacheField>
    <cacheField name="[Calendar_Table].[Date (Quarter)].[Date (Quarter)]" caption="Date (Quarter)" numFmtId="0" hierarchy="4" level="1">
      <sharedItems count="1">
        <s v="Qtr2"/>
      </sharedItems>
    </cacheField>
    <cacheField name="[Calendar_Table].[Date (Year)].[Date (Year)]" caption="Date (Year)" numFmtId="0" hierarchy="3" level="1">
      <sharedItems count="1">
        <s v="2024"/>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 SOLUTION" refreshedDate="46022.760768981483" createdVersion="3" refreshedVersion="8" minRefreshableVersion="3" recordCount="0" supportSubquery="1" supportAdvancedDrill="1" xr:uid="{1D684B03-AB08-4DFA-B3B5-3532803A418F}">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0152416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44FA4A-8E73-40E5-86F1-FB75DE3DD397}" name="PivotTable10" cacheId="9" applyNumberFormats="0" applyBorderFormats="0" applyFontFormats="0" applyPatternFormats="0" applyAlignmentFormats="0" applyWidthHeightFormats="1" dataCaption="Values" tag="9e78eca8-f3bb-46fb-bb6a-8c034f71e323" updatedVersion="8" minRefreshableVersion="3" itemPrintTitles="1" createdVersion="5" indent="0" outline="1" outlineData="1" multipleFieldFilters="0" chartFormat="78">
  <location ref="D52:E55"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1" subtotal="count" baseField="0" baseItem="0"/>
  </dataFields>
  <formats count="2">
    <format dxfId="1">
      <pivotArea outline="0" collapsedLevelsAreSubtotals="1" fieldPosition="0"/>
    </format>
    <format dxfId="0">
      <pivotArea grandRow="1" outline="0" collapsedLevelsAreSubtotals="1" fieldPosition="0"/>
    </format>
  </formats>
  <chartFormats count="3">
    <chartFormat chart="76" format="4" series="1">
      <pivotArea type="data" outline="0" fieldPosition="0">
        <references count="1">
          <reference field="4294967294" count="1" selected="0">
            <x v="0"/>
          </reference>
        </references>
      </pivotArea>
    </chartFormat>
    <chartFormat chart="76" format="5">
      <pivotArea type="data" outline="0" fieldPosition="0">
        <references count="2">
          <reference field="4294967294" count="1" selected="0">
            <x v="0"/>
          </reference>
          <reference field="2" count="1" selected="0">
            <x v="0"/>
          </reference>
        </references>
      </pivotArea>
    </chartFormat>
    <chartFormat chart="76" format="6">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E25ADB-ECCF-4A83-A757-3D63F28786E3}" name="PivotTable7" cacheId="0" applyNumberFormats="0" applyBorderFormats="0" applyFontFormats="0" applyPatternFormats="0" applyAlignmentFormats="0" applyWidthHeightFormats="1" dataCaption="Values" tag="9e78eca8-f3bb-46fb-bb6a-8c034f71e323" updatedVersion="8" minRefreshableVersion="3" itemPrintTitles="1" createdVersion="5" indent="0" outline="1" outlineData="1" multipleFieldFilters="0" chartFormat="217">
  <location ref="D4:E34" firstHeaderRow="1" firstDataRow="1" firstDataCol="1"/>
  <pivotFields count="4">
    <pivotField dataField="1" subtotalTop="0" showAll="0" defaultSubtotal="0"/>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512E3F-8730-4471-AF64-5B3DA1D687B5}" name="PivotTable2" cacheId="4" applyNumberFormats="0" applyBorderFormats="0" applyFontFormats="0" applyPatternFormats="0" applyAlignmentFormats="0" applyWidthHeightFormats="1" dataCaption="Values" tag="9e78eca8-f3bb-46fb-bb6a-8c034f71e323" updatedVersion="8" minRefreshableVersion="3" subtotalHiddenItems="1" itemPrintTitles="1" createdVersion="5" indent="0" outline="1" outlineData="1" multipleFieldFilters="0" chartFormat="233">
  <location ref="I4:J34" firstHeaderRow="1" firstDataRow="1" firstDataCol="1"/>
  <pivotFields count="4">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of Patient Waittime" fld="2" subtotal="average" baseField="0" baseItem="0" numFmtId="2"/>
  </dataFields>
  <formats count="1">
    <format dxfId="2">
      <pivotArea outline="0" collapsedLevelsAreSubtotals="1" fieldPosition="0"/>
    </format>
  </formats>
  <chartFormats count="4">
    <chartFormat chart="216" format="1" series="1">
      <pivotArea type="data" outline="0" fieldPosition="0">
        <references count="1">
          <reference field="4294967294" count="1" selected="0">
            <x v="0"/>
          </reference>
        </references>
      </pivotArea>
    </chartFormat>
    <chartFormat chart="217" format="2" series="1">
      <pivotArea type="data" outline="0" fieldPosition="0">
        <references count="1">
          <reference field="4294967294" count="1" selected="0">
            <x v="0"/>
          </reference>
        </references>
      </pivotArea>
    </chartFormat>
    <chartFormat chart="218" format="2" series="1">
      <pivotArea type="data" outline="0" fieldPosition="0">
        <references count="1">
          <reference field="4294967294" count="1" selected="0">
            <x v="0"/>
          </reference>
        </references>
      </pivotArea>
    </chartFormat>
    <chartFormat chart="230" format="6"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D60355-0053-46F5-9ED5-5EBB5326085E}" name="PivotTable9" cacheId="8" applyNumberFormats="0" applyBorderFormats="0" applyFontFormats="0" applyPatternFormats="0" applyAlignmentFormats="0" applyWidthHeightFormats="1" dataCaption="Values" tag="9e78eca8-f3bb-46fb-bb6a-8c034f71e323" updatedVersion="8" minRefreshableVersion="3" itemPrintTitles="1" createdVersion="5" indent="0" outline="1" outlineData="1" multipleFieldFilters="0" chartFormat="73">
  <location ref="A52:B5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3">
    <format dxfId="5">
      <pivotArea outline="0" collapsedLevelsAreSubtotals="1" fieldPosition="0"/>
    </format>
    <format dxfId="4">
      <pivotArea grandRow="1" outline="0" collapsedLevelsAreSubtotals="1" fieldPosition="0"/>
    </format>
    <format dxfId="3">
      <pivotArea collapsedLevelsAreSubtotals="1" fieldPosition="0">
        <references count="1">
          <reference field="1" count="0"/>
        </references>
      </pivotArea>
    </format>
  </formats>
  <chartFormats count="3">
    <chartFormat chart="70" format="4" series="1">
      <pivotArea type="data" outline="0" fieldPosition="0">
        <references count="1">
          <reference field="4294967294" count="1" selected="0">
            <x v="0"/>
          </reference>
        </references>
      </pivotArea>
    </chartFormat>
    <chartFormat chart="70" format="5">
      <pivotArea type="data" outline="0" fieldPosition="0">
        <references count="2">
          <reference field="4294967294" count="1" selected="0">
            <x v="0"/>
          </reference>
          <reference field="1" count="1" selected="0">
            <x v="0"/>
          </reference>
        </references>
      </pivotArea>
    </chartFormat>
    <chartFormat chart="70"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34E52B-604D-479D-B624-AC1EF8CA9B14}" name="PivotTable6" cacheId="3" applyNumberFormats="0" applyBorderFormats="0" applyFontFormats="0" applyPatternFormats="0" applyAlignmentFormats="0" applyWidthHeightFormats="1" dataCaption="Values" tag="9e78eca8-f3bb-46fb-bb6a-8c034f71e323" updatedVersion="8" minRefreshableVersion="3"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6">
      <pivotArea outline="0" collapsedLevelsAreSubtotals="1" fieldPosition="0"/>
    </format>
  </formats>
  <pivotHierarchies count="34">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174B74-99F7-4B5B-B334-A3585024888A}" name="PivotTable8" cacheId="7" applyNumberFormats="0" applyBorderFormats="0" applyFontFormats="0" applyPatternFormats="0" applyAlignmentFormats="0" applyWidthHeightFormats="1" dataCaption="Values" tag="9e78eca8-f3bb-46fb-bb6a-8c034f71e323" updatedVersion="8" minRefreshableVersion="3" itemPrintTitles="1" createdVersion="5" indent="0" outline="1" outlineData="1" multipleFieldFilters="0" chartFormat="65">
  <location ref="A31:B40"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1" subtotal="count" baseField="0" baseItem="0"/>
  </dataFields>
  <formats count="2">
    <format dxfId="8">
      <pivotArea outline="0" collapsedLevelsAreSubtotals="1" fieldPosition="0"/>
    </format>
    <format dxfId="7">
      <pivotArea grandRow="1" outline="0" collapsedLevelsAreSubtotals="1" fieldPosition="0"/>
    </format>
  </formats>
  <chartFormats count="1">
    <chartFormat chart="64"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67C63F-F1B4-4C04-9DE3-0A6C940237F8}" name="PivotTable5" cacheId="2" applyNumberFormats="0" applyBorderFormats="0" applyFontFormats="0" applyPatternFormats="0" applyAlignmentFormats="0" applyWidthHeightFormats="1" dataCaption="Values" tag="9e78eca8-f3bb-46fb-bb6a-8c034f71e323" updatedVersion="8" minRefreshableVersion="3"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9">
      <pivotArea outline="0" collapsedLevelsAreSubtotals="1" fieldPosition="0"/>
    </format>
  </formats>
  <pivotHierarchies count="34">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615FD76-4588-412D-8D64-A9196CD5A44D}" name="PivotTable1" cacheId="1" applyNumberFormats="0" applyBorderFormats="0" applyFontFormats="0" applyPatternFormats="0" applyAlignmentFormats="0" applyWidthHeightFormats="1" dataCaption="Values" tag="9e78eca8-f3bb-46fb-bb6a-8c034f71e323" updatedVersion="8" minRefreshableVersion="3"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B1853BE-582F-4DD8-973D-7FBDB0953F7F}" name="PivotTable12" cacheId="11" applyNumberFormats="0" applyBorderFormats="0" applyFontFormats="0" applyPatternFormats="0" applyAlignmentFormats="0" applyWidthHeightFormats="1" dataCaption="Values" tag="9e78eca8-f3bb-46fb-bb6a-8c034f71e323" updatedVersion="8" minRefreshableVersion="3" itemPrintTitles="1" createdVersion="5" indent="0" outline="1" outlineData="1" multipleFieldFilters="0" chartFormat="82">
  <location ref="A69:A71"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2">
    <format dxfId="11">
      <pivotArea outline="0" collapsedLevelsAreSubtotals="1" fieldPosition="0"/>
    </format>
    <format dxfId="10">
      <pivotArea grandRow="1" outline="0" collapsedLevelsAreSubtotals="1" fieldPosition="0"/>
    </format>
  </formats>
  <pivotHierarchies count="34">
    <pivotHierarchy dragToData="1"/>
    <pivotHierarchy multipleItemSelectionAllowed="1" dragToData="1">
      <members count="1" level="1">
        <member name="[Calendar_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D6BDB17-BE4C-458F-8BF8-E1B477ABD0A3}" name="PivotTable11" cacheId="10" applyNumberFormats="0" applyBorderFormats="0" applyFontFormats="0" applyPatternFormats="0" applyAlignmentFormats="0" applyWidthHeightFormats="1" dataCaption="Values" tag="9e78eca8-f3bb-46fb-bb6a-8c034f71e323" updatedVersion="8" minRefreshableVersion="3" itemPrintTitles="1" createdVersion="5" indent="0" outline="1" outlineData="1" multipleFieldFilters="0" chartFormat="82">
  <location ref="A58:B67"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9">
    <i>
      <x v="3"/>
    </i>
    <i>
      <x v="1"/>
    </i>
    <i>
      <x v="7"/>
    </i>
    <i>
      <x/>
    </i>
    <i>
      <x v="6"/>
    </i>
    <i>
      <x v="5"/>
    </i>
    <i>
      <x v="2"/>
    </i>
    <i>
      <x v="4"/>
    </i>
    <i t="grand">
      <x/>
    </i>
  </rowItems>
  <colItems count="1">
    <i/>
  </colItems>
  <dataFields count="1">
    <dataField name="Count of Department Referral" fld="1" subtotal="count" baseField="0" baseItem="0"/>
  </dataFields>
  <formats count="2">
    <format dxfId="13">
      <pivotArea outline="0" collapsedLevelsAreSubtotals="1" fieldPosition="0"/>
    </format>
    <format dxfId="12">
      <pivotArea grandRow="1" outline="0" collapsedLevelsAreSubtotals="1" fieldPosition="0"/>
    </format>
  </formats>
  <chartFormats count="3">
    <chartFormat chart="79" format="1" series="1">
      <pivotArea type="data" outline="0" fieldPosition="0">
        <references count="1">
          <reference field="4294967294" count="1" selected="0">
            <x v="0"/>
          </reference>
        </references>
      </pivotArea>
    </chartFormat>
    <chartFormat chart="80" format="2" series="1">
      <pivotArea type="data" outline="0" fieldPosition="0">
        <references count="1">
          <reference field="4294967294" count="1" selected="0">
            <x v="0"/>
          </reference>
        </references>
      </pivotArea>
    </chartFormat>
    <chartFormat chart="81"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5274304-6495-498A-81EB-05ABC8EC723C}" name="PivotTable4" cacheId="6" applyNumberFormats="0" applyBorderFormats="0" applyFontFormats="0" applyPatternFormats="0" applyAlignmentFormats="0" applyWidthHeightFormats="1" dataCaption="Values" tag="9e78eca8-f3bb-46fb-bb6a-8c034f71e323" updatedVersion="8" minRefreshableVersion="3" itemPrintTitles="1" createdVersion="5" indent="0" outline="1" outlineData="1" multipleFieldFilters="0" chartFormat="61">
  <location ref="A16:C19"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5">
    <format dxfId="18">
      <pivotArea outline="0" collapsedLevelsAreSubtotals="1" fieldPosition="0"/>
    </format>
    <format dxfId="17">
      <pivotArea collapsedLevelsAreSubtotals="1" fieldPosition="0">
        <references count="1">
          <reference field="2" count="1">
            <x v="0"/>
          </reference>
        </references>
      </pivotArea>
    </format>
    <format dxfId="16">
      <pivotArea collapsedLevelsAreSubtotals="1" fieldPosition="0">
        <references count="1">
          <reference field="2" count="1">
            <x v="1"/>
          </reference>
        </references>
      </pivotArea>
    </format>
    <format dxfId="15">
      <pivotArea grandRow="1" outline="0" collapsedLevelsAreSubtotals="1" fieldPosition="0"/>
    </format>
    <format dxfId="14">
      <pivotArea outline="0" fieldPosition="0">
        <references count="1">
          <reference field="4294967294" count="1">
            <x v="1"/>
          </reference>
        </references>
      </pivotArea>
    </format>
  </formats>
  <chartFormats count="12">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2" count="1" selected="0">
            <x v="0"/>
          </reference>
        </references>
      </pivotArea>
    </chartFormat>
    <chartFormat chart="7" format="18">
      <pivotArea type="data" outline="0" fieldPosition="0">
        <references count="2">
          <reference field="4294967294" count="1" selected="0">
            <x v="0"/>
          </reference>
          <reference field="2" count="1" selected="0">
            <x v="1"/>
          </reference>
        </references>
      </pivotArea>
    </chartFormat>
    <chartFormat chart="7" format="19" series="1">
      <pivotArea type="data" outline="0" fieldPosition="0">
        <references count="1">
          <reference field="4294967294" count="1" selected="0">
            <x v="1"/>
          </reference>
        </references>
      </pivotArea>
    </chartFormat>
    <chartFormat chart="8" format="20" series="1">
      <pivotArea type="data" outline="0" fieldPosition="0">
        <references count="1">
          <reference field="4294967294" count="1" selected="0">
            <x v="0"/>
          </reference>
        </references>
      </pivotArea>
    </chartFormat>
    <chartFormat chart="8" format="21">
      <pivotArea type="data" outline="0" fieldPosition="0">
        <references count="2">
          <reference field="4294967294" count="1" selected="0">
            <x v="0"/>
          </reference>
          <reference field="2" count="1" selected="0">
            <x v="0"/>
          </reference>
        </references>
      </pivotArea>
    </chartFormat>
    <chartFormat chart="8" format="22">
      <pivotArea type="data" outline="0" fieldPosition="0">
        <references count="2">
          <reference field="4294967294" count="1" selected="0">
            <x v="0"/>
          </reference>
          <reference field="2" count="1" selected="0">
            <x v="1"/>
          </reference>
        </references>
      </pivotArea>
    </chartFormat>
    <chartFormat chart="8" format="23" series="1">
      <pivotArea type="data" outline="0" fieldPosition="0">
        <references count="1">
          <reference field="4294967294" count="1" selected="0">
            <x v="1"/>
          </reference>
        </references>
      </pivotArea>
    </chartFormat>
    <chartFormat chart="9" format="20" series="1">
      <pivotArea type="data" outline="0" fieldPosition="0">
        <references count="1">
          <reference field="4294967294" count="1" selected="0">
            <x v="0"/>
          </reference>
        </references>
      </pivotArea>
    </chartFormat>
    <chartFormat chart="9" format="21">
      <pivotArea type="data" outline="0" fieldPosition="0">
        <references count="2">
          <reference field="4294967294" count="1" selected="0">
            <x v="0"/>
          </reference>
          <reference field="2" count="1" selected="0">
            <x v="0"/>
          </reference>
        </references>
      </pivotArea>
    </chartFormat>
    <chartFormat chart="9" format="22">
      <pivotArea type="data" outline="0" fieldPosition="0">
        <references count="2">
          <reference field="4294967294" count="1" selected="0">
            <x v="0"/>
          </reference>
          <reference field="2" count="1" selected="0">
            <x v="1"/>
          </reference>
        </references>
      </pivotArea>
    </chartFormat>
    <chartFormat chart="9" format="23" series="1">
      <pivotArea type="data" outline="0" fieldPosition="0">
        <references count="1">
          <reference field="4294967294" count="1" selected="0">
            <x v="1"/>
          </reference>
        </references>
      </pivotArea>
    </chartFormat>
  </chartFormat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EE5A75F-917D-44D4-BC68-95AAE501EEBE}" name="PivotTable3" cacheId="5" applyNumberFormats="0" applyBorderFormats="0" applyFontFormats="0" applyPatternFormats="0" applyAlignmentFormats="0" applyWidthHeightFormats="1" dataCaption="Values" tag="9e78eca8-f3bb-46fb-bb6a-8c034f71e323" updatedVersion="8" minRefreshableVersion="3" subtotalHiddenItems="1" itemPrintTitles="1" createdVersion="5" indent="0" outline="1" outlineData="1" multipleFieldFilters="0" chartFormat="238">
  <location ref="M3:N32" firstHeaderRow="1" firstDataRow="1" firstDataCol="1"/>
  <pivotFields count="4">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Average of Patient Satisfaction Score" fld="2" subtotal="average" baseField="0" baseItem="0"/>
  </dataFields>
  <formats count="1">
    <format dxfId="19">
      <pivotArea outline="0" collapsedLevelsAreSubtotals="1" fieldPosition="0"/>
    </format>
  </formats>
  <chartFormats count="2">
    <chartFormat chart="234" format="2" series="1">
      <pivotArea type="data" outline="0" fieldPosition="0">
        <references count="1">
          <reference field="4294967294" count="1" selected="0">
            <x v="0"/>
          </reference>
        </references>
      </pivotArea>
    </chartFormat>
    <chartFormat chart="23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4E1A5130-4A4F-4345-98FC-115D39C7A4E0}" sourceName="[Calendar_Table].[Date (Month)]">
  <pivotTables>
    <pivotTable tabId="1" name="PivotTable7"/>
    <pivotTable tabId="1" name="PivotTable1"/>
    <pivotTable tabId="1" name="PivotTable5"/>
    <pivotTable tabId="1" name="PivotTable6"/>
    <pivotTable tabId="1" name="PivotTable2"/>
    <pivotTable tabId="1" name="PivotTable3"/>
    <pivotTable tabId="1" name="PivotTable4"/>
    <pivotTable tabId="1" name="PivotTable8"/>
    <pivotTable tabId="1" name="PivotTable9"/>
    <pivotTable tabId="1" name="PivotTable10"/>
    <pivotTable tabId="1" name="PivotTable11"/>
    <pivotTable tabId="1" name="PivotTable12"/>
  </pivotTables>
  <data>
    <olap pivotCacheId="201524163">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Feb]"/>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5CE44643-D6BE-475D-BE15-4E7DA4FE6883}"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201524163">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272B043A-707C-4C26-872C-BB5E4BE29520}" cache="Slicer_Date__Month" caption="Date (Month)" showCaption="0" level="1" style="My Style" rowHeight="140400"/>
  <slicer name="Date (Year)" xr10:uid="{1F533185-FF05-4D2E-A1E0-F932882CD802}" cache="Slicer_Date__Year" caption="Date (Year)" columnCount="2" showCaption="0" level="1" style="My Style"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EF579-3985-4135-ACC4-8C194A12018F}">
  <dimension ref="A3:N71"/>
  <sheetViews>
    <sheetView topLeftCell="A104" zoomScale="224" zoomScaleNormal="190" workbookViewId="0">
      <selection activeCell="E113" sqref="E113"/>
    </sheetView>
  </sheetViews>
  <sheetFormatPr defaultRowHeight="15" x14ac:dyDescent="0.25"/>
  <cols>
    <col min="1" max="1" width="15" customWidth="1"/>
    <col min="2" max="2" width="12.5703125" customWidth="1"/>
    <col min="3" max="3" width="12.28515625" customWidth="1"/>
    <col min="4" max="4" width="14.85546875" customWidth="1"/>
    <col min="9" max="9" width="12.28515625" customWidth="1"/>
    <col min="10" max="10" width="12" bestFit="1" customWidth="1"/>
  </cols>
  <sheetData>
    <row r="3" spans="1:14" x14ac:dyDescent="0.25">
      <c r="A3" t="s">
        <v>1</v>
      </c>
      <c r="D3" t="s">
        <v>7</v>
      </c>
      <c r="I3" t="s">
        <v>8</v>
      </c>
      <c r="M3" s="1" t="s">
        <v>4</v>
      </c>
      <c r="N3" t="s">
        <v>3</v>
      </c>
    </row>
    <row r="4" spans="1:14" x14ac:dyDescent="0.25">
      <c r="A4" t="s">
        <v>0</v>
      </c>
      <c r="D4" s="1" t="s">
        <v>4</v>
      </c>
      <c r="E4" t="s">
        <v>0</v>
      </c>
      <c r="I4" s="1" t="s">
        <v>4</v>
      </c>
      <c r="J4" t="s">
        <v>2</v>
      </c>
      <c r="M4" s="4" t="s">
        <v>43</v>
      </c>
      <c r="N4" s="2">
        <v>4.166666666666667</v>
      </c>
    </row>
    <row r="5" spans="1:14" x14ac:dyDescent="0.25">
      <c r="A5">
        <v>431</v>
      </c>
      <c r="D5" s="4" t="s">
        <v>43</v>
      </c>
      <c r="E5">
        <v>13</v>
      </c>
      <c r="I5" s="4" t="s">
        <v>43</v>
      </c>
      <c r="J5" s="2">
        <v>35.692307692307693</v>
      </c>
      <c r="M5" s="4" t="s">
        <v>44</v>
      </c>
      <c r="N5" s="2">
        <v>5.75</v>
      </c>
    </row>
    <row r="6" spans="1:14" x14ac:dyDescent="0.25">
      <c r="D6" s="4" t="s">
        <v>44</v>
      </c>
      <c r="E6">
        <v>10</v>
      </c>
      <c r="I6" s="4" t="s">
        <v>44</v>
      </c>
      <c r="J6" s="2">
        <v>45.4</v>
      </c>
      <c r="M6" s="4" t="s">
        <v>45</v>
      </c>
      <c r="N6" s="2">
        <v>4.75</v>
      </c>
    </row>
    <row r="7" spans="1:14" x14ac:dyDescent="0.25">
      <c r="D7" s="4" t="s">
        <v>45</v>
      </c>
      <c r="E7">
        <v>8</v>
      </c>
      <c r="I7" s="4" t="s">
        <v>45</v>
      </c>
      <c r="J7" s="2">
        <v>29.375</v>
      </c>
      <c r="M7" s="4" t="s">
        <v>46</v>
      </c>
      <c r="N7" s="2">
        <v>7</v>
      </c>
    </row>
    <row r="8" spans="1:14" x14ac:dyDescent="0.25">
      <c r="A8" t="s">
        <v>2</v>
      </c>
      <c r="D8" s="4" t="s">
        <v>46</v>
      </c>
      <c r="E8">
        <v>12</v>
      </c>
      <c r="I8" s="4" t="s">
        <v>46</v>
      </c>
      <c r="J8" s="2">
        <v>34.583333333333336</v>
      </c>
      <c r="M8" s="4" t="s">
        <v>47</v>
      </c>
      <c r="N8" s="2">
        <v>3.1428571428571428</v>
      </c>
    </row>
    <row r="9" spans="1:14" x14ac:dyDescent="0.25">
      <c r="A9" s="2">
        <v>36.670533642691417</v>
      </c>
      <c r="D9" s="4" t="s">
        <v>47</v>
      </c>
      <c r="E9">
        <v>19</v>
      </c>
      <c r="I9" s="4" t="s">
        <v>47</v>
      </c>
      <c r="J9" s="2">
        <v>38.684210526315788</v>
      </c>
      <c r="M9" s="4" t="s">
        <v>48</v>
      </c>
      <c r="N9" s="2">
        <v>8</v>
      </c>
    </row>
    <row r="10" spans="1:14" x14ac:dyDescent="0.25">
      <c r="D10" s="4" t="s">
        <v>48</v>
      </c>
      <c r="E10">
        <v>9</v>
      </c>
      <c r="I10" s="4" t="s">
        <v>48</v>
      </c>
      <c r="J10" s="2">
        <v>34.777777777777779</v>
      </c>
      <c r="M10" s="4" t="s">
        <v>49</v>
      </c>
      <c r="N10" s="2">
        <v>5.25</v>
      </c>
    </row>
    <row r="11" spans="1:14" x14ac:dyDescent="0.25">
      <c r="A11" t="s">
        <v>3</v>
      </c>
      <c r="D11" s="4" t="s">
        <v>49</v>
      </c>
      <c r="E11">
        <v>13</v>
      </c>
      <c r="I11" s="4" t="s">
        <v>49</v>
      </c>
      <c r="J11" s="2">
        <v>37.307692307692307</v>
      </c>
      <c r="M11" s="4" t="s">
        <v>50</v>
      </c>
      <c r="N11" s="2">
        <v>4.5714285714285712</v>
      </c>
    </row>
    <row r="12" spans="1:14" x14ac:dyDescent="0.25">
      <c r="A12" s="2">
        <v>4.7154471544715451</v>
      </c>
      <c r="D12" s="4" t="s">
        <v>50</v>
      </c>
      <c r="E12">
        <v>19</v>
      </c>
      <c r="I12" s="4" t="s">
        <v>50</v>
      </c>
      <c r="J12" s="2">
        <v>35.631578947368418</v>
      </c>
      <c r="M12" s="4" t="s">
        <v>51</v>
      </c>
      <c r="N12" s="2">
        <v>2.75</v>
      </c>
    </row>
    <row r="13" spans="1:14" x14ac:dyDescent="0.25">
      <c r="D13" s="4" t="s">
        <v>51</v>
      </c>
      <c r="E13">
        <v>10</v>
      </c>
      <c r="I13" s="4" t="s">
        <v>51</v>
      </c>
      <c r="J13" s="2">
        <v>36.6</v>
      </c>
      <c r="M13" s="4" t="s">
        <v>52</v>
      </c>
      <c r="N13" s="2">
        <v>4.5</v>
      </c>
    </row>
    <row r="14" spans="1:14" x14ac:dyDescent="0.25">
      <c r="D14" s="4" t="s">
        <v>52</v>
      </c>
      <c r="E14">
        <v>20</v>
      </c>
      <c r="I14" s="4" t="s">
        <v>52</v>
      </c>
      <c r="J14" s="2">
        <v>39.700000000000003</v>
      </c>
      <c r="M14" s="4" t="s">
        <v>53</v>
      </c>
      <c r="N14" s="2">
        <v>5.5</v>
      </c>
    </row>
    <row r="15" spans="1:14" x14ac:dyDescent="0.25">
      <c r="D15" s="4" t="s">
        <v>53</v>
      </c>
      <c r="E15">
        <v>15</v>
      </c>
      <c r="I15" s="4" t="s">
        <v>53</v>
      </c>
      <c r="J15" s="2">
        <v>37.4</v>
      </c>
      <c r="M15" s="4" t="s">
        <v>54</v>
      </c>
      <c r="N15" s="2">
        <v>5.6</v>
      </c>
    </row>
    <row r="16" spans="1:14" x14ac:dyDescent="0.25">
      <c r="A16" s="1" t="s">
        <v>4</v>
      </c>
      <c r="B16" t="s">
        <v>10</v>
      </c>
      <c r="C16" t="s">
        <v>13</v>
      </c>
      <c r="D16" s="4" t="s">
        <v>54</v>
      </c>
      <c r="E16">
        <v>13</v>
      </c>
      <c r="I16" s="4" t="s">
        <v>54</v>
      </c>
      <c r="J16" s="2">
        <v>27.76923076923077</v>
      </c>
      <c r="M16" s="4" t="s">
        <v>55</v>
      </c>
      <c r="N16" s="2">
        <v>5.75</v>
      </c>
    </row>
    <row r="17" spans="1:14" x14ac:dyDescent="0.25">
      <c r="A17" s="4" t="s">
        <v>11</v>
      </c>
      <c r="B17" s="10">
        <v>224</v>
      </c>
      <c r="C17" s="11">
        <v>0.51972157772621808</v>
      </c>
      <c r="D17" s="4" t="s">
        <v>55</v>
      </c>
      <c r="E17">
        <v>9</v>
      </c>
      <c r="I17" s="4" t="s">
        <v>55</v>
      </c>
      <c r="J17" s="2">
        <v>38.777777777777779</v>
      </c>
      <c r="M17" s="4" t="s">
        <v>56</v>
      </c>
      <c r="N17" s="2">
        <v>3.4444444444444446</v>
      </c>
    </row>
    <row r="18" spans="1:14" x14ac:dyDescent="0.25">
      <c r="A18" s="4" t="s">
        <v>12</v>
      </c>
      <c r="B18" s="10">
        <v>207</v>
      </c>
      <c r="C18" s="11">
        <v>0.48027842227378192</v>
      </c>
      <c r="D18" s="4" t="s">
        <v>56</v>
      </c>
      <c r="E18">
        <v>19</v>
      </c>
      <c r="I18" s="4" t="s">
        <v>56</v>
      </c>
      <c r="J18" s="2">
        <v>31</v>
      </c>
      <c r="M18" s="4" t="s">
        <v>57</v>
      </c>
      <c r="N18" s="2">
        <v>1.5</v>
      </c>
    </row>
    <row r="19" spans="1:14" x14ac:dyDescent="0.25">
      <c r="A19" s="4" t="s">
        <v>5</v>
      </c>
      <c r="B19" s="10">
        <v>431</v>
      </c>
      <c r="C19" s="11">
        <v>1</v>
      </c>
      <c r="D19" s="4" t="s">
        <v>57</v>
      </c>
      <c r="E19">
        <v>14</v>
      </c>
      <c r="I19" s="4" t="s">
        <v>57</v>
      </c>
      <c r="J19" s="2">
        <v>35.928571428571431</v>
      </c>
      <c r="M19" s="4" t="s">
        <v>58</v>
      </c>
      <c r="N19" s="2">
        <v>3.6666666666666665</v>
      </c>
    </row>
    <row r="20" spans="1:14" x14ac:dyDescent="0.25">
      <c r="D20" s="4" t="s">
        <v>58</v>
      </c>
      <c r="E20">
        <v>17</v>
      </c>
      <c r="I20" s="4" t="s">
        <v>58</v>
      </c>
      <c r="J20" s="2">
        <v>37.882352941176471</v>
      </c>
      <c r="M20" s="4" t="s">
        <v>59</v>
      </c>
      <c r="N20" s="2">
        <v>4.4285714285714288</v>
      </c>
    </row>
    <row r="21" spans="1:14" x14ac:dyDescent="0.25">
      <c r="D21" s="4" t="s">
        <v>59</v>
      </c>
      <c r="E21">
        <v>17</v>
      </c>
      <c r="I21" s="4" t="s">
        <v>59</v>
      </c>
      <c r="J21" s="2">
        <v>40.588235294117645</v>
      </c>
      <c r="M21" s="4" t="s">
        <v>60</v>
      </c>
      <c r="N21" s="2">
        <v>6</v>
      </c>
    </row>
    <row r="22" spans="1:14" x14ac:dyDescent="0.25">
      <c r="D22" s="4" t="s">
        <v>60</v>
      </c>
      <c r="E22">
        <v>15</v>
      </c>
      <c r="I22" s="4" t="s">
        <v>60</v>
      </c>
      <c r="J22" s="2">
        <v>34.533333333333331</v>
      </c>
      <c r="M22" s="4" t="s">
        <v>61</v>
      </c>
      <c r="N22" s="2">
        <v>2.6666666666666665</v>
      </c>
    </row>
    <row r="23" spans="1:14" x14ac:dyDescent="0.25">
      <c r="A23" s="15"/>
      <c r="B23" s="15"/>
      <c r="D23" s="4" t="s">
        <v>61</v>
      </c>
      <c r="E23">
        <v>9</v>
      </c>
      <c r="I23" s="4" t="s">
        <v>61</v>
      </c>
      <c r="J23" s="2">
        <v>40.333333333333336</v>
      </c>
      <c r="M23" s="4" t="s">
        <v>62</v>
      </c>
      <c r="N23" s="2">
        <v>7.5</v>
      </c>
    </row>
    <row r="24" spans="1:14" x14ac:dyDescent="0.25">
      <c r="A24" s="4"/>
      <c r="B24" s="10"/>
      <c r="D24" s="4" t="s">
        <v>62</v>
      </c>
      <c r="E24">
        <v>14</v>
      </c>
      <c r="I24" s="4" t="s">
        <v>62</v>
      </c>
      <c r="J24" s="2">
        <v>35.285714285714285</v>
      </c>
      <c r="M24" s="4" t="s">
        <v>63</v>
      </c>
      <c r="N24" s="2">
        <v>4.5</v>
      </c>
    </row>
    <row r="25" spans="1:14" x14ac:dyDescent="0.25">
      <c r="A25" s="4"/>
      <c r="B25" s="10"/>
      <c r="D25" s="4" t="s">
        <v>63</v>
      </c>
      <c r="E25">
        <v>22</v>
      </c>
      <c r="I25" s="4" t="s">
        <v>63</v>
      </c>
      <c r="J25" s="2">
        <v>35.5</v>
      </c>
      <c r="M25" s="4" t="s">
        <v>64</v>
      </c>
      <c r="N25" s="2">
        <v>8</v>
      </c>
    </row>
    <row r="26" spans="1:14" x14ac:dyDescent="0.25">
      <c r="A26" s="20"/>
      <c r="B26" s="21"/>
      <c r="D26" s="4" t="s">
        <v>64</v>
      </c>
      <c r="E26">
        <v>16</v>
      </c>
      <c r="I26" s="4" t="s">
        <v>64</v>
      </c>
      <c r="J26" s="2">
        <v>38.5625</v>
      </c>
      <c r="M26" s="4" t="s">
        <v>65</v>
      </c>
      <c r="N26" s="2">
        <v>4.3636363636363633</v>
      </c>
    </row>
    <row r="27" spans="1:14" x14ac:dyDescent="0.25">
      <c r="D27" s="4" t="s">
        <v>65</v>
      </c>
      <c r="E27">
        <v>22</v>
      </c>
      <c r="I27" s="4" t="s">
        <v>65</v>
      </c>
      <c r="J27" s="2">
        <v>42.727272727272727</v>
      </c>
      <c r="M27" s="4" t="s">
        <v>66</v>
      </c>
      <c r="N27" s="2">
        <v>0</v>
      </c>
    </row>
    <row r="28" spans="1:14" x14ac:dyDescent="0.25">
      <c r="D28" s="4" t="s">
        <v>66</v>
      </c>
      <c r="E28">
        <v>12</v>
      </c>
      <c r="I28" s="4" t="s">
        <v>66</v>
      </c>
      <c r="J28" s="2">
        <v>37.416666666666664</v>
      </c>
      <c r="M28" s="4" t="s">
        <v>67</v>
      </c>
      <c r="N28" s="2">
        <v>10</v>
      </c>
    </row>
    <row r="29" spans="1:14" x14ac:dyDescent="0.25">
      <c r="D29" s="4" t="s">
        <v>67</v>
      </c>
      <c r="E29">
        <v>20</v>
      </c>
      <c r="I29" s="4" t="s">
        <v>67</v>
      </c>
      <c r="J29" s="2">
        <v>32.450000000000003</v>
      </c>
      <c r="M29" s="4" t="s">
        <v>69</v>
      </c>
      <c r="N29" s="2">
        <v>6.75</v>
      </c>
    </row>
    <row r="30" spans="1:14" x14ac:dyDescent="0.25">
      <c r="D30" s="4" t="s">
        <v>68</v>
      </c>
      <c r="E30">
        <v>18</v>
      </c>
      <c r="I30" s="4" t="s">
        <v>68</v>
      </c>
      <c r="J30" s="2">
        <v>40.055555555555557</v>
      </c>
      <c r="M30" s="4" t="s">
        <v>70</v>
      </c>
      <c r="N30" s="2">
        <v>7</v>
      </c>
    </row>
    <row r="31" spans="1:14" x14ac:dyDescent="0.25">
      <c r="A31" s="1" t="s">
        <v>4</v>
      </c>
      <c r="B31" t="s">
        <v>17</v>
      </c>
      <c r="D31" s="4" t="s">
        <v>69</v>
      </c>
      <c r="E31">
        <v>18</v>
      </c>
      <c r="I31" s="4" t="s">
        <v>69</v>
      </c>
      <c r="J31" s="2">
        <v>31.666666666666668</v>
      </c>
      <c r="M31" s="4" t="s">
        <v>71</v>
      </c>
      <c r="N31" s="2">
        <v>3.3333333333333335</v>
      </c>
    </row>
    <row r="32" spans="1:14" x14ac:dyDescent="0.25">
      <c r="A32" s="4" t="s">
        <v>18</v>
      </c>
      <c r="B32" s="2">
        <v>42</v>
      </c>
      <c r="D32" s="4" t="s">
        <v>70</v>
      </c>
      <c r="E32">
        <v>13</v>
      </c>
      <c r="I32" s="4" t="s">
        <v>70</v>
      </c>
      <c r="J32" s="2">
        <v>39.769230769230766</v>
      </c>
      <c r="M32" s="4" t="s">
        <v>5</v>
      </c>
      <c r="N32" s="2">
        <v>4.7154471544715451</v>
      </c>
    </row>
    <row r="33" spans="1:10" x14ac:dyDescent="0.25">
      <c r="A33" s="4" t="s">
        <v>19</v>
      </c>
      <c r="B33" s="2">
        <v>46</v>
      </c>
      <c r="D33" s="4" t="s">
        <v>71</v>
      </c>
      <c r="E33">
        <v>15</v>
      </c>
      <c r="I33" s="4" t="s">
        <v>71</v>
      </c>
      <c r="J33" s="2">
        <v>36.733333333333334</v>
      </c>
    </row>
    <row r="34" spans="1:10" x14ac:dyDescent="0.25">
      <c r="A34" s="4" t="s">
        <v>20</v>
      </c>
      <c r="B34" s="2">
        <v>54</v>
      </c>
      <c r="D34" s="4" t="s">
        <v>5</v>
      </c>
      <c r="E34">
        <v>431</v>
      </c>
      <c r="I34" s="4" t="s">
        <v>5</v>
      </c>
      <c r="J34" s="2">
        <v>36.670533642691417</v>
      </c>
    </row>
    <row r="35" spans="1:10" x14ac:dyDescent="0.25">
      <c r="A35" s="4" t="s">
        <v>21</v>
      </c>
      <c r="B35" s="2">
        <v>68</v>
      </c>
    </row>
    <row r="36" spans="1:10" x14ac:dyDescent="0.25">
      <c r="A36" s="4" t="s">
        <v>22</v>
      </c>
      <c r="B36" s="2">
        <v>62</v>
      </c>
    </row>
    <row r="37" spans="1:10" x14ac:dyDescent="0.25">
      <c r="A37" s="4" t="s">
        <v>23</v>
      </c>
      <c r="B37" s="2">
        <v>52</v>
      </c>
    </row>
    <row r="38" spans="1:10" x14ac:dyDescent="0.25">
      <c r="A38" s="4" t="s">
        <v>24</v>
      </c>
      <c r="B38" s="2">
        <v>54</v>
      </c>
    </row>
    <row r="39" spans="1:10" x14ac:dyDescent="0.25">
      <c r="A39" s="4" t="s">
        <v>25</v>
      </c>
      <c r="B39" s="2">
        <v>53</v>
      </c>
    </row>
    <row r="40" spans="1:10" x14ac:dyDescent="0.25">
      <c r="A40" s="4" t="s">
        <v>5</v>
      </c>
      <c r="B40" s="10">
        <v>431</v>
      </c>
    </row>
    <row r="42" spans="1:10" ht="20.25" customHeight="1" x14ac:dyDescent="0.25"/>
    <row r="43" spans="1:10" ht="12.75" customHeight="1" x14ac:dyDescent="0.25">
      <c r="A43" s="13" t="s">
        <v>14</v>
      </c>
      <c r="B43" s="13" t="s">
        <v>16</v>
      </c>
      <c r="C43" s="13" t="s">
        <v>15</v>
      </c>
      <c r="D43" s="13"/>
    </row>
    <row r="44" spans="1:10" s="12" customFormat="1" ht="13.5" customHeight="1" x14ac:dyDescent="0.25">
      <c r="A44" s="16" t="s">
        <v>12</v>
      </c>
      <c r="B44" s="17">
        <v>504</v>
      </c>
      <c r="C44" s="18">
        <v>0.50857719475277496</v>
      </c>
      <c r="D44" s="14"/>
    </row>
    <row r="45" spans="1:10" s="12" customFormat="1" ht="12" customHeight="1" x14ac:dyDescent="0.25">
      <c r="A45" s="16" t="s">
        <v>11</v>
      </c>
      <c r="B45" s="17">
        <v>487</v>
      </c>
      <c r="C45" s="18">
        <v>0.49142280524722504</v>
      </c>
      <c r="D45" s="14"/>
    </row>
    <row r="48" spans="1:10" x14ac:dyDescent="0.25">
      <c r="B48" s="19"/>
      <c r="C48" s="13"/>
      <c r="D48" s="13"/>
      <c r="E48" s="13"/>
    </row>
    <row r="49" spans="1:5" x14ac:dyDescent="0.25">
      <c r="B49" s="16"/>
      <c r="C49" s="17"/>
      <c r="D49" s="18"/>
      <c r="E49" s="14"/>
    </row>
    <row r="50" spans="1:5" x14ac:dyDescent="0.25">
      <c r="B50" s="16"/>
      <c r="C50" s="17"/>
      <c r="D50" s="18"/>
      <c r="E50" s="14"/>
    </row>
    <row r="52" spans="1:5" x14ac:dyDescent="0.25">
      <c r="A52" s="1" t="s">
        <v>4</v>
      </c>
      <c r="B52" t="s">
        <v>28</v>
      </c>
      <c r="D52" s="1" t="s">
        <v>4</v>
      </c>
      <c r="E52" t="s">
        <v>40</v>
      </c>
    </row>
    <row r="53" spans="1:5" x14ac:dyDescent="0.25">
      <c r="A53" s="4" t="s">
        <v>26</v>
      </c>
      <c r="B53" s="10">
        <v>283</v>
      </c>
      <c r="D53" s="4" t="s">
        <v>32</v>
      </c>
      <c r="E53" s="2">
        <v>194</v>
      </c>
    </row>
    <row r="54" spans="1:5" x14ac:dyDescent="0.25">
      <c r="A54" s="4" t="s">
        <v>27</v>
      </c>
      <c r="B54" s="10">
        <v>148</v>
      </c>
      <c r="D54" s="4" t="s">
        <v>30</v>
      </c>
      <c r="E54" s="2">
        <v>237</v>
      </c>
    </row>
    <row r="55" spans="1:5" x14ac:dyDescent="0.25">
      <c r="A55" s="4" t="s">
        <v>5</v>
      </c>
      <c r="B55" s="10">
        <v>431</v>
      </c>
      <c r="D55" s="4" t="s">
        <v>5</v>
      </c>
      <c r="E55" s="10">
        <v>431</v>
      </c>
    </row>
    <row r="58" spans="1:5" x14ac:dyDescent="0.25">
      <c r="A58" s="1" t="s">
        <v>4</v>
      </c>
      <c r="B58" t="s">
        <v>41</v>
      </c>
    </row>
    <row r="59" spans="1:5" x14ac:dyDescent="0.25">
      <c r="A59" s="4" t="s">
        <v>37</v>
      </c>
      <c r="B59" s="2">
        <v>6</v>
      </c>
    </row>
    <row r="60" spans="1:5" x14ac:dyDescent="0.25">
      <c r="A60" s="4" t="s">
        <v>38</v>
      </c>
      <c r="B60" s="2">
        <v>6</v>
      </c>
    </row>
    <row r="61" spans="1:5" x14ac:dyDescent="0.25">
      <c r="A61" s="4" t="s">
        <v>39</v>
      </c>
      <c r="B61" s="2">
        <v>6</v>
      </c>
    </row>
    <row r="62" spans="1:5" x14ac:dyDescent="0.25">
      <c r="A62" s="4" t="s">
        <v>36</v>
      </c>
      <c r="B62" s="2">
        <v>12</v>
      </c>
    </row>
    <row r="63" spans="1:5" x14ac:dyDescent="0.25">
      <c r="A63" s="4" t="s">
        <v>35</v>
      </c>
      <c r="B63" s="2">
        <v>14</v>
      </c>
    </row>
    <row r="64" spans="1:5" x14ac:dyDescent="0.25">
      <c r="A64" s="4" t="s">
        <v>34</v>
      </c>
      <c r="B64" s="2">
        <v>46</v>
      </c>
    </row>
    <row r="65" spans="1:2" x14ac:dyDescent="0.25">
      <c r="A65" s="4" t="s">
        <v>33</v>
      </c>
      <c r="B65" s="2">
        <v>89</v>
      </c>
    </row>
    <row r="66" spans="1:2" x14ac:dyDescent="0.25">
      <c r="A66" s="4" t="s">
        <v>31</v>
      </c>
      <c r="B66" s="2">
        <v>252</v>
      </c>
    </row>
    <row r="67" spans="1:2" x14ac:dyDescent="0.25">
      <c r="A67" s="4" t="s">
        <v>5</v>
      </c>
      <c r="B67" s="10">
        <v>431</v>
      </c>
    </row>
    <row r="69" spans="1:2" x14ac:dyDescent="0.25">
      <c r="A69" s="1" t="s">
        <v>4</v>
      </c>
    </row>
    <row r="70" spans="1:2" x14ac:dyDescent="0.25">
      <c r="A70" s="4" t="s">
        <v>42</v>
      </c>
    </row>
    <row r="71" spans="1:2" x14ac:dyDescent="0.25">
      <c r="A71" s="4" t="s">
        <v>5</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2576B-1095-4F4D-AB48-2561D74255D0}">
  <dimension ref="A1:M19"/>
  <sheetViews>
    <sheetView tabSelected="1" topLeftCell="B1" zoomScale="136" zoomScaleNormal="175" workbookViewId="0">
      <selection activeCell="E19" sqref="E19"/>
    </sheetView>
  </sheetViews>
  <sheetFormatPr defaultRowHeight="15" x14ac:dyDescent="0.25"/>
  <cols>
    <col min="5" max="5" width="8.85546875" customWidth="1"/>
    <col min="7" max="7" width="8.85546875" customWidth="1"/>
  </cols>
  <sheetData>
    <row r="1" spans="1:13" x14ac:dyDescent="0.25">
      <c r="A1" s="9" t="s">
        <v>29</v>
      </c>
      <c r="B1" s="3"/>
      <c r="C1" s="3"/>
      <c r="D1" s="3"/>
      <c r="E1" s="3"/>
      <c r="F1" s="3"/>
      <c r="G1" s="3"/>
      <c r="H1" s="3"/>
      <c r="I1" s="3"/>
      <c r="J1" s="3"/>
      <c r="K1" s="3"/>
      <c r="L1" s="3"/>
      <c r="M1" s="3"/>
    </row>
    <row r="2" spans="1:13" x14ac:dyDescent="0.25">
      <c r="A2" s="3"/>
      <c r="B2" s="3"/>
      <c r="C2" s="3"/>
      <c r="D2" s="3"/>
      <c r="E2" s="3"/>
      <c r="F2" s="3"/>
      <c r="G2" s="3"/>
      <c r="H2" s="3"/>
      <c r="I2" s="3"/>
      <c r="J2" s="3"/>
      <c r="K2" s="3"/>
      <c r="L2" s="3"/>
      <c r="M2" s="3"/>
    </row>
    <row r="3" spans="1:13" x14ac:dyDescent="0.25">
      <c r="A3" s="3"/>
      <c r="B3" s="3"/>
      <c r="C3" s="3"/>
      <c r="D3" s="3"/>
      <c r="E3" s="3"/>
      <c r="F3" s="3"/>
      <c r="G3" s="3"/>
      <c r="H3" s="3"/>
      <c r="I3" s="3"/>
      <c r="J3" s="3"/>
      <c r="K3" s="3"/>
      <c r="L3" s="3"/>
      <c r="M3" s="3"/>
    </row>
    <row r="4" spans="1:13" x14ac:dyDescent="0.25">
      <c r="A4" s="3"/>
      <c r="B4" s="3"/>
      <c r="C4" s="3"/>
      <c r="D4" s="3"/>
      <c r="E4" s="3"/>
      <c r="F4" s="3"/>
      <c r="G4" s="3"/>
      <c r="H4" s="3"/>
      <c r="I4" s="3"/>
      <c r="J4" s="3"/>
      <c r="K4" s="3"/>
      <c r="L4" s="3"/>
      <c r="M4" s="3"/>
    </row>
    <row r="5" spans="1:13" x14ac:dyDescent="0.25">
      <c r="A5" s="3"/>
      <c r="B5" s="3"/>
      <c r="C5" s="3"/>
      <c r="D5" s="3"/>
      <c r="E5" s="3"/>
      <c r="F5" s="3"/>
      <c r="G5" s="3"/>
      <c r="H5" s="3"/>
      <c r="I5" s="3"/>
      <c r="J5" s="3"/>
      <c r="K5" s="3"/>
      <c r="L5" s="3"/>
      <c r="M5" s="3"/>
    </row>
    <row r="6" spans="1:13" x14ac:dyDescent="0.25">
      <c r="A6" s="3"/>
      <c r="B6" s="3"/>
      <c r="C6" s="3"/>
      <c r="D6" s="3"/>
      <c r="E6" s="3"/>
      <c r="F6" s="3"/>
      <c r="G6" s="3"/>
      <c r="H6" s="3"/>
      <c r="I6" s="3"/>
      <c r="J6" s="3"/>
      <c r="K6" s="3"/>
      <c r="L6" s="3"/>
      <c r="M6" s="3"/>
    </row>
    <row r="7" spans="1:13" x14ac:dyDescent="0.25">
      <c r="A7" s="3"/>
      <c r="B7" s="3"/>
      <c r="C7" s="3"/>
      <c r="D7" s="3"/>
      <c r="E7" s="3"/>
      <c r="F7" s="3"/>
      <c r="G7" s="3"/>
      <c r="H7" s="3"/>
      <c r="I7" s="3"/>
      <c r="J7" s="3"/>
      <c r="K7" s="3"/>
      <c r="L7" s="3"/>
      <c r="M7" s="3"/>
    </row>
    <row r="8" spans="1:13" x14ac:dyDescent="0.25">
      <c r="A8" s="3"/>
      <c r="B8" s="3"/>
      <c r="C8" s="3"/>
      <c r="D8" s="3"/>
      <c r="E8" s="3"/>
      <c r="F8" s="3"/>
      <c r="G8" s="3"/>
      <c r="H8" s="3"/>
      <c r="I8" s="3"/>
      <c r="J8" s="3"/>
      <c r="K8" s="3"/>
      <c r="L8" s="3"/>
      <c r="M8" s="3"/>
    </row>
    <row r="9" spans="1:13" x14ac:dyDescent="0.25">
      <c r="A9" s="3"/>
      <c r="B9" s="3"/>
      <c r="C9" s="3"/>
      <c r="D9" s="3"/>
      <c r="E9" s="3"/>
      <c r="F9" s="3"/>
      <c r="G9" s="3"/>
      <c r="H9" s="3"/>
      <c r="I9" s="3"/>
      <c r="J9" s="3"/>
      <c r="K9" s="3"/>
      <c r="L9" s="3"/>
      <c r="M9" s="3"/>
    </row>
    <row r="10" spans="1:13" x14ac:dyDescent="0.25">
      <c r="A10" s="3"/>
      <c r="B10" s="3"/>
      <c r="C10" s="3"/>
      <c r="D10" s="3"/>
      <c r="E10" s="3"/>
      <c r="F10" s="3"/>
      <c r="G10" s="3"/>
      <c r="H10" s="3"/>
      <c r="I10" s="3"/>
      <c r="J10" s="3"/>
      <c r="K10" s="3"/>
      <c r="L10" s="3"/>
      <c r="M10" s="3"/>
    </row>
    <row r="11" spans="1:13" x14ac:dyDescent="0.25">
      <c r="A11" s="3"/>
      <c r="B11" s="3"/>
      <c r="C11" s="3"/>
      <c r="D11" s="3"/>
      <c r="E11" s="3"/>
      <c r="F11" s="3"/>
      <c r="G11" s="3"/>
      <c r="H11" s="3"/>
      <c r="I11" s="3"/>
      <c r="J11" s="3"/>
      <c r="K11" s="3"/>
      <c r="L11" s="3"/>
      <c r="M11" s="3"/>
    </row>
    <row r="12" spans="1:13" x14ac:dyDescent="0.25">
      <c r="A12" s="3"/>
      <c r="B12" s="3"/>
      <c r="C12" s="3"/>
      <c r="D12" s="3"/>
      <c r="E12" s="3"/>
      <c r="F12" s="3"/>
      <c r="G12" s="3"/>
      <c r="H12" s="3"/>
      <c r="I12" s="3"/>
      <c r="J12" s="3"/>
      <c r="K12" s="3"/>
      <c r="L12" s="3"/>
      <c r="M12" s="3"/>
    </row>
    <row r="13" spans="1:13" x14ac:dyDescent="0.25">
      <c r="A13" s="3"/>
      <c r="B13" s="3"/>
      <c r="C13" s="3"/>
      <c r="D13" s="3"/>
      <c r="E13" s="3"/>
      <c r="F13" s="3"/>
      <c r="G13" s="3"/>
      <c r="H13" s="3"/>
      <c r="I13" s="3"/>
      <c r="J13" s="3"/>
      <c r="K13" s="3"/>
      <c r="L13" s="3"/>
      <c r="M13" s="3"/>
    </row>
    <row r="14" spans="1:13" x14ac:dyDescent="0.25">
      <c r="A14" s="3"/>
      <c r="B14" s="3"/>
      <c r="C14" s="3"/>
      <c r="D14" s="3"/>
      <c r="E14" s="3"/>
      <c r="F14" s="3"/>
      <c r="G14" s="3"/>
      <c r="H14" s="3"/>
      <c r="I14" s="3"/>
      <c r="J14" s="3"/>
      <c r="K14" s="3"/>
      <c r="L14" s="3"/>
      <c r="M14" s="3"/>
    </row>
    <row r="15" spans="1:13" x14ac:dyDescent="0.25">
      <c r="A15" s="3"/>
      <c r="B15" s="3"/>
      <c r="C15" s="3"/>
      <c r="D15" s="3"/>
      <c r="E15" s="3"/>
      <c r="F15" s="3"/>
      <c r="G15" s="3"/>
      <c r="H15" s="3"/>
      <c r="I15" s="3"/>
      <c r="J15" s="3"/>
      <c r="K15" s="3"/>
      <c r="L15" s="3"/>
      <c r="M15" s="3"/>
    </row>
    <row r="16" spans="1:13" x14ac:dyDescent="0.25">
      <c r="A16" s="3"/>
      <c r="B16" s="3"/>
      <c r="C16" s="3"/>
      <c r="D16" s="3"/>
      <c r="E16" s="3"/>
      <c r="F16" s="3"/>
      <c r="G16" s="3"/>
      <c r="H16" s="3"/>
      <c r="I16" s="3"/>
      <c r="J16" s="3"/>
      <c r="K16" s="3"/>
      <c r="L16" s="3"/>
      <c r="M16" s="3"/>
    </row>
    <row r="19" spans="5:7" x14ac:dyDescent="0.25">
      <c r="E19" s="23"/>
      <c r="G19" s="2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39AD1-7BF4-4ABE-A5E8-9832F9DD4705}">
  <dimension ref="B21"/>
  <sheetViews>
    <sheetView workbookViewId="0"/>
  </sheetViews>
  <sheetFormatPr defaultRowHeight="15" x14ac:dyDescent="0.25"/>
  <cols>
    <col min="1" max="16384" width="9.140625" style="7"/>
  </cols>
  <sheetData>
    <row r="21" spans="2:2" ht="15.75" x14ac:dyDescent="0.25">
      <c r="B21" s="8" t="s">
        <v>9</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5D98A-DBAE-49BB-B5D9-F9965B634B22}">
  <dimension ref="A1:O18"/>
  <sheetViews>
    <sheetView topLeftCell="A7" zoomScale="160" zoomScaleNormal="160" workbookViewId="0"/>
  </sheetViews>
  <sheetFormatPr defaultRowHeight="15" x14ac:dyDescent="0.25"/>
  <sheetData>
    <row r="1" spans="1:15" x14ac:dyDescent="0.25">
      <c r="A1" s="5"/>
      <c r="B1" s="5"/>
      <c r="C1" s="5"/>
      <c r="D1" s="5"/>
      <c r="E1" s="5"/>
      <c r="F1" s="5"/>
      <c r="G1" s="5"/>
      <c r="H1" s="5"/>
      <c r="I1" s="5"/>
      <c r="J1" s="5"/>
      <c r="K1" s="5"/>
      <c r="L1" s="5"/>
      <c r="M1" s="5"/>
      <c r="N1" s="5"/>
      <c r="O1" s="5"/>
    </row>
    <row r="2" spans="1:15" x14ac:dyDescent="0.25">
      <c r="A2" s="5"/>
      <c r="B2" s="5"/>
      <c r="C2" s="5"/>
      <c r="D2" s="5"/>
      <c r="E2" s="5"/>
      <c r="F2" s="5"/>
      <c r="G2" s="5"/>
      <c r="H2" s="5"/>
      <c r="I2" s="5"/>
      <c r="J2" s="5"/>
      <c r="K2" s="5"/>
      <c r="L2" s="5"/>
      <c r="M2" s="5"/>
      <c r="N2" s="5"/>
      <c r="O2" s="5"/>
    </row>
    <row r="3" spans="1:15" x14ac:dyDescent="0.25">
      <c r="A3" s="5"/>
      <c r="B3" s="5"/>
      <c r="C3" s="5"/>
      <c r="D3" s="5"/>
      <c r="E3" s="5"/>
      <c r="F3" s="5"/>
      <c r="G3" s="5"/>
      <c r="H3" s="5"/>
      <c r="I3" s="5"/>
      <c r="J3" s="5"/>
      <c r="K3" s="5"/>
      <c r="L3" s="5"/>
      <c r="M3" s="5"/>
      <c r="N3" s="5"/>
      <c r="O3" s="5"/>
    </row>
    <row r="4" spans="1:15" x14ac:dyDescent="0.25">
      <c r="A4" s="5"/>
      <c r="B4" s="5"/>
      <c r="C4" s="5"/>
      <c r="D4" s="5"/>
      <c r="E4" s="5"/>
      <c r="F4" s="5"/>
      <c r="G4" s="5"/>
      <c r="H4" s="5"/>
      <c r="I4" s="5"/>
      <c r="J4" s="5"/>
      <c r="K4" s="5"/>
      <c r="L4" s="5"/>
      <c r="M4" s="5"/>
      <c r="N4" s="5"/>
      <c r="O4" s="5"/>
    </row>
    <row r="5" spans="1:15" x14ac:dyDescent="0.25">
      <c r="A5" s="5"/>
      <c r="B5" s="5"/>
      <c r="C5" s="5"/>
      <c r="D5" s="5"/>
      <c r="E5" s="5"/>
      <c r="F5" s="5"/>
      <c r="G5" s="5"/>
      <c r="H5" s="5"/>
      <c r="I5" s="5"/>
      <c r="J5" s="5"/>
      <c r="K5" s="5"/>
      <c r="L5" s="5"/>
      <c r="M5" s="5"/>
      <c r="N5" s="5"/>
      <c r="O5" s="5"/>
    </row>
    <row r="6" spans="1:15" x14ac:dyDescent="0.25">
      <c r="A6" s="5"/>
      <c r="B6" s="5"/>
      <c r="C6" s="5"/>
      <c r="D6" s="5"/>
      <c r="E6" s="5"/>
      <c r="F6" s="5"/>
      <c r="G6" s="5"/>
      <c r="H6" s="5"/>
      <c r="I6" s="5"/>
      <c r="J6" s="5"/>
      <c r="K6" s="5"/>
      <c r="L6" s="5"/>
      <c r="M6" s="5"/>
      <c r="N6" s="5"/>
      <c r="O6" s="5"/>
    </row>
    <row r="7" spans="1:15" x14ac:dyDescent="0.25">
      <c r="A7" s="5"/>
      <c r="B7" s="5"/>
      <c r="C7" s="5"/>
      <c r="D7" s="5"/>
      <c r="E7" s="5"/>
      <c r="F7" s="5"/>
      <c r="G7" s="5"/>
      <c r="H7" s="5"/>
      <c r="I7" s="5"/>
      <c r="J7" s="5"/>
      <c r="K7" s="5"/>
      <c r="L7" s="5"/>
      <c r="M7" s="5"/>
      <c r="N7" s="5"/>
      <c r="O7" s="5"/>
    </row>
    <row r="8" spans="1:15" x14ac:dyDescent="0.25">
      <c r="A8" s="5"/>
      <c r="B8" s="5"/>
      <c r="C8" s="5"/>
      <c r="D8" s="5"/>
      <c r="E8" s="5"/>
      <c r="F8" s="5"/>
      <c r="G8" s="5"/>
      <c r="H8" s="5"/>
      <c r="I8" s="5"/>
      <c r="J8" s="5"/>
      <c r="K8" s="5"/>
      <c r="L8" s="5"/>
      <c r="M8" s="5"/>
      <c r="N8" s="5"/>
      <c r="O8" s="5"/>
    </row>
    <row r="9" spans="1:15" x14ac:dyDescent="0.25">
      <c r="A9" s="5"/>
      <c r="B9" s="5"/>
      <c r="C9" s="5"/>
      <c r="D9" s="5"/>
      <c r="E9" s="5"/>
      <c r="F9" s="5"/>
      <c r="G9" s="5"/>
      <c r="H9" s="5"/>
      <c r="I9" s="5"/>
      <c r="J9" s="5"/>
      <c r="K9" s="5"/>
      <c r="L9" s="5"/>
      <c r="M9" s="5"/>
      <c r="N9" s="5"/>
      <c r="O9" s="5"/>
    </row>
    <row r="10" spans="1:15" x14ac:dyDescent="0.25">
      <c r="A10" s="5"/>
      <c r="B10" s="5"/>
      <c r="C10" s="5"/>
      <c r="D10" s="5"/>
      <c r="E10" s="5"/>
      <c r="F10" s="5"/>
      <c r="G10" s="5"/>
      <c r="H10" s="5"/>
      <c r="I10" s="5"/>
      <c r="J10" s="5"/>
      <c r="K10" s="5"/>
      <c r="L10" s="5"/>
      <c r="M10" s="5"/>
      <c r="N10" s="5"/>
      <c r="O10" s="5"/>
    </row>
    <row r="11" spans="1:15" x14ac:dyDescent="0.25">
      <c r="A11" s="5"/>
      <c r="B11" s="5"/>
      <c r="C11" s="5"/>
      <c r="D11" s="5"/>
      <c r="E11" s="5"/>
      <c r="F11" s="5"/>
      <c r="G11" s="5"/>
      <c r="H11" s="5"/>
      <c r="I11" s="5"/>
      <c r="J11" s="5"/>
      <c r="K11" s="5"/>
      <c r="L11" s="5"/>
      <c r="M11" s="5"/>
      <c r="N11" s="5"/>
      <c r="O11" s="5"/>
    </row>
    <row r="12" spans="1:15" x14ac:dyDescent="0.25">
      <c r="A12" s="5"/>
      <c r="B12" s="5"/>
      <c r="C12" s="5"/>
      <c r="D12" s="5"/>
      <c r="E12" s="5"/>
      <c r="F12" s="5"/>
      <c r="G12" s="5"/>
      <c r="H12" s="5"/>
      <c r="I12" s="5"/>
      <c r="J12" s="5"/>
      <c r="K12" s="5"/>
      <c r="L12" s="5"/>
      <c r="M12" s="5"/>
      <c r="N12" s="5"/>
      <c r="O12" s="5"/>
    </row>
    <row r="13" spans="1:15" x14ac:dyDescent="0.25">
      <c r="A13" s="5"/>
      <c r="B13" s="5"/>
      <c r="C13" s="5"/>
      <c r="D13" s="5"/>
      <c r="E13" s="5"/>
      <c r="F13" s="5"/>
      <c r="G13" s="5"/>
      <c r="H13" s="5"/>
      <c r="I13" s="5"/>
      <c r="J13" s="5"/>
      <c r="K13" s="5"/>
      <c r="L13" s="5"/>
      <c r="M13" s="5"/>
      <c r="N13" s="5"/>
      <c r="O13" s="5"/>
    </row>
    <row r="14" spans="1:15" x14ac:dyDescent="0.25">
      <c r="A14" s="5"/>
      <c r="B14" s="5"/>
      <c r="C14" s="5"/>
      <c r="D14" s="5"/>
      <c r="E14" s="5"/>
      <c r="F14" s="5"/>
      <c r="G14" s="5"/>
      <c r="H14" s="5"/>
      <c r="I14" s="5"/>
      <c r="J14" s="5"/>
      <c r="K14" s="5"/>
      <c r="L14" s="5"/>
      <c r="M14" s="5"/>
      <c r="N14" s="5"/>
      <c r="O14" s="5"/>
    </row>
    <row r="15" spans="1:15" x14ac:dyDescent="0.25">
      <c r="A15" s="5"/>
      <c r="B15" s="6" t="s">
        <v>6</v>
      </c>
      <c r="C15" s="5"/>
      <c r="D15" s="5"/>
      <c r="E15" s="5"/>
      <c r="F15" s="5"/>
      <c r="G15" s="5"/>
      <c r="H15" s="5"/>
      <c r="I15" s="5"/>
      <c r="J15" s="5"/>
      <c r="K15" s="5"/>
      <c r="L15" s="5"/>
      <c r="M15" s="5"/>
      <c r="N15" s="5"/>
      <c r="O15" s="5"/>
    </row>
    <row r="16" spans="1:15" x14ac:dyDescent="0.25">
      <c r="A16" s="5"/>
      <c r="B16" s="5"/>
      <c r="C16" s="5"/>
      <c r="D16" s="5"/>
      <c r="E16" s="5"/>
      <c r="F16" s="5"/>
      <c r="G16" s="5"/>
      <c r="H16" s="5"/>
      <c r="I16" s="5"/>
      <c r="J16" s="5"/>
      <c r="K16" s="5"/>
      <c r="L16" s="5"/>
      <c r="M16" s="5"/>
      <c r="N16" s="5"/>
      <c r="O16" s="5"/>
    </row>
    <row r="17" spans="1:15" x14ac:dyDescent="0.25">
      <c r="A17" s="5"/>
      <c r="B17" s="5"/>
      <c r="C17" s="5"/>
      <c r="D17" s="5"/>
      <c r="E17" s="5"/>
      <c r="F17" s="5"/>
      <c r="G17" s="5"/>
      <c r="H17" s="5"/>
      <c r="I17" s="5"/>
      <c r="J17" s="5"/>
      <c r="K17" s="5"/>
      <c r="L17" s="5"/>
      <c r="M17" s="5"/>
      <c r="N17" s="5"/>
      <c r="O17" s="5"/>
    </row>
    <row r="18" spans="1:15" x14ac:dyDescent="0.25">
      <c r="A18" s="5"/>
      <c r="B18" s="5"/>
      <c r="C18" s="5"/>
      <c r="D18" s="5"/>
      <c r="E18" s="5"/>
      <c r="F18" s="5"/>
      <c r="G18" s="5"/>
      <c r="H18" s="5"/>
      <c r="I18" s="5"/>
      <c r="J18" s="5"/>
      <c r="K18" s="5"/>
      <c r="L18" s="5"/>
      <c r="M18" s="5"/>
      <c r="N18" s="5"/>
      <c r="O18"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DF1C0-AA61-486B-8FB1-98C8666FDEA5}">
  <dimension ref="B21"/>
  <sheetViews>
    <sheetView workbookViewId="0"/>
  </sheetViews>
  <sheetFormatPr defaultRowHeight="15" x14ac:dyDescent="0.25"/>
  <cols>
    <col min="1" max="16384" width="9.140625" style="7"/>
  </cols>
  <sheetData>
    <row r="21" spans="2:2" ht="15.75" x14ac:dyDescent="0.25">
      <c r="B21" s="8" t="s">
        <v>9</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BAE379F0-60C9-4BD7-8CA3-E9CB8EE0B7B3}">
  <ds:schemaRefs/>
</ds:datastoreItem>
</file>

<file path=customXml/itemProps2.xml><?xml version="1.0" encoding="utf-8"?>
<ds:datastoreItem xmlns:ds="http://schemas.openxmlformats.org/officeDocument/2006/customXml" ds:itemID="{67018DD3-DA8F-45EB-AA46-357032C4B970}">
  <ds:schemaRefs/>
</ds:datastoreItem>
</file>

<file path=customXml/itemProps3.xml><?xml version="1.0" encoding="utf-8"?>
<ds:datastoreItem xmlns:ds="http://schemas.openxmlformats.org/officeDocument/2006/customXml" ds:itemID="{82D36E0F-60EF-4BFF-B298-E5E8FAD29764}">
  <ds:schemaRefs/>
</ds:datastoreItem>
</file>

<file path=customXml/itemProps4.xml><?xml version="1.0" encoding="utf-8"?>
<ds:datastoreItem xmlns:ds="http://schemas.openxmlformats.org/officeDocument/2006/customXml" ds:itemID="{DD0BC13B-3645-4967-95E2-FF0132D9444B}">
  <ds:schemaRefs/>
</ds:datastoreItem>
</file>

<file path=customXml/itemProps5.xml><?xml version="1.0" encoding="utf-8"?>
<ds:datastoreItem xmlns:ds="http://schemas.openxmlformats.org/officeDocument/2006/customXml" ds:itemID="{EDD46A23-0D4C-42B9-B70B-3B028EF7A29D}">
  <ds:schemaRefs>
    <ds:schemaRef ds:uri="http://schemas.microsoft.com/DataMashup"/>
  </ds:schemaRefs>
</ds:datastoreItem>
</file>

<file path=customXml/itemProps6.xml><?xml version="1.0" encoding="utf-8"?>
<ds:datastoreItem xmlns:ds="http://schemas.openxmlformats.org/officeDocument/2006/customXml" ds:itemID="{4FE8AF06-F5C1-4AFF-9B69-DA8C500585E8}">
  <ds:schemaRefs/>
</ds:datastoreItem>
</file>

<file path=customXml/itemProps7.xml><?xml version="1.0" encoding="utf-8"?>
<ds:datastoreItem xmlns:ds="http://schemas.openxmlformats.org/officeDocument/2006/customXml" ds:itemID="{80A69D05-6864-4142-A108-1BA96DFA4DE4}">
  <ds:schemaRefs/>
</ds:datastoreItem>
</file>

<file path=customXml/itemProps8.xml><?xml version="1.0" encoding="utf-8"?>
<ds:datastoreItem xmlns:ds="http://schemas.openxmlformats.org/officeDocument/2006/customXml" ds:itemID="{61FCE7D1-8102-4BC7-8008-2E979091CA9B}">
  <ds:schemaRefs/>
</ds:datastoreItem>
</file>

<file path=customXml/itemProps9.xml><?xml version="1.0" encoding="utf-8"?>
<ds:datastoreItem xmlns:ds="http://schemas.openxmlformats.org/officeDocument/2006/customXml" ds:itemID="{8F6E7591-6813-4DD6-8F69-4CFEAAAE715E}">
  <ds:schemaRefs/>
</ds:datastoreItem>
</file>

<file path=customXml/itemProps10.xml><?xml version="1.0" encoding="utf-8"?>
<ds:datastoreItem xmlns:ds="http://schemas.openxmlformats.org/officeDocument/2006/customXml" ds:itemID="{3B8BDEDE-4214-43A8-A91B-EFF7D8108D07}">
  <ds:schemaRefs/>
</ds:datastoreItem>
</file>

<file path=customXml/itemProps11.xml><?xml version="1.0" encoding="utf-8"?>
<ds:datastoreItem xmlns:ds="http://schemas.openxmlformats.org/officeDocument/2006/customXml" ds:itemID="{C02E2CBA-E654-45B6-87C4-3FA895D372BA}">
  <ds:schemaRefs/>
</ds:datastoreItem>
</file>

<file path=customXml/itemProps12.xml><?xml version="1.0" encoding="utf-8"?>
<ds:datastoreItem xmlns:ds="http://schemas.openxmlformats.org/officeDocument/2006/customXml" ds:itemID="{02A9511E-6196-4BCC-A8D7-2F733EAA3A20}">
  <ds:schemaRefs/>
</ds:datastoreItem>
</file>

<file path=customXml/itemProps13.xml><?xml version="1.0" encoding="utf-8"?>
<ds:datastoreItem xmlns:ds="http://schemas.openxmlformats.org/officeDocument/2006/customXml" ds:itemID="{46456E61-B037-4F6F-A77E-EFC146F68978}">
  <ds:schemaRefs/>
</ds:datastoreItem>
</file>

<file path=customXml/itemProps14.xml><?xml version="1.0" encoding="utf-8"?>
<ds:datastoreItem xmlns:ds="http://schemas.openxmlformats.org/officeDocument/2006/customXml" ds:itemID="{0185C27E-386B-4DDF-B4D2-A72EFD8613C7}">
  <ds:schemaRefs/>
</ds:datastoreItem>
</file>

<file path=customXml/itemProps15.xml><?xml version="1.0" encoding="utf-8"?>
<ds:datastoreItem xmlns:ds="http://schemas.openxmlformats.org/officeDocument/2006/customXml" ds:itemID="{475FF370-F0BF-47FA-A54F-78A3006A96FA}">
  <ds:schemaRefs/>
</ds:datastoreItem>
</file>

<file path=customXml/itemProps16.xml><?xml version="1.0" encoding="utf-8"?>
<ds:datastoreItem xmlns:ds="http://schemas.openxmlformats.org/officeDocument/2006/customXml" ds:itemID="{D5ABD098-8F26-4449-BCD0-4C1CFFA069A0}">
  <ds:schemaRefs/>
</ds:datastoreItem>
</file>

<file path=customXml/itemProps17.xml><?xml version="1.0" encoding="utf-8"?>
<ds:datastoreItem xmlns:ds="http://schemas.openxmlformats.org/officeDocument/2006/customXml" ds:itemID="{116593C4-B610-4EE8-AD5A-F6F7F6A81FB2}">
  <ds:schemaRefs/>
</ds:datastoreItem>
</file>

<file path=customXml/itemProps18.xml><?xml version="1.0" encoding="utf-8"?>
<ds:datastoreItem xmlns:ds="http://schemas.openxmlformats.org/officeDocument/2006/customXml" ds:itemID="{9F86B6C1-57C9-4198-AF50-4727E5CF22E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Average wait time daily trend</vt:lpstr>
      <vt:lpstr>Daily ER No of patient</vt:lpstr>
      <vt:lpstr>satisfiction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Satish Dhawale</dc:creator>
  <cp:lastModifiedBy>Zeeshan Bashir</cp:lastModifiedBy>
  <dcterms:created xsi:type="dcterms:W3CDTF">2025-01-22T07:08:48Z</dcterms:created>
  <dcterms:modified xsi:type="dcterms:W3CDTF">2025-12-31T13:35:10Z</dcterms:modified>
</cp:coreProperties>
</file>